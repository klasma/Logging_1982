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46252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46252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46252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46252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46252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46252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46252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46252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46252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46252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46252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46252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46252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46252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46252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46252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46252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46252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HYPERLINK("https://klasma.github.io/Logging_1982/artfynd/A 3553-2026 artfynd.xlsx", "A 3553-2026")</f>
        <v/>
      </c>
      <c r="X19">
        <f>HYPERLINK("https://klasma.github.io/Logging_1982/kartor/A 3553-2026 karta.png", "A 3553-2026")</f>
        <v/>
      </c>
      <c r="Y19">
        <f>HYPERLINK("https://klasma.github.io/Logging_1982/kartor_geotiff/A 3553-2026 georefererad karta.tif", "A 3553-2026")</f>
        <v/>
      </c>
      <c r="AA19">
        <f>HYPERLINK("https://klasma.github.io/Logging_1982/klagomål/A 3553-2026 FSC-klagomål.docx", "A 3553-2026")</f>
        <v/>
      </c>
      <c r="AB19">
        <f>HYPERLINK("https://klasma.github.io/Logging_1982/klagomålsmail/A 3553-2026 FSC-klagomål mail.docx", "A 3553-2026")</f>
        <v/>
      </c>
      <c r="AC19">
        <f>HYPERLINK("https://klasma.github.io/Logging_1982/tillsyn/A 3553-2026 tillsynsbegäran.docx", "A 3553-2026")</f>
        <v/>
      </c>
      <c r="AD19">
        <f>HYPERLINK("https://klasma.github.io/Logging_1982/tillsynsmail/A 3553-2026 tillsynsbegäran mail.docx", "A 3553-2026")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46252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46252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46252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46252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46252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46252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46252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46252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46252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46252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46252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46252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46252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46252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46252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46252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46252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30630-2023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46252</v>
      </c>
      <c r="F37" t="inlineStr">
        <is>
          <t>VÄSTMANLANDS LÄN</t>
        </is>
      </c>
      <c r="G37" t="inlineStr">
        <is>
          <t>FAGERSTA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54804-2023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45236</v>
      </c>
      <c r="E38" s="1" t="n">
        <v>46252</v>
      </c>
      <c r="F38" t="inlineStr">
        <is>
          <t>VÄSTMANLANDS LÄN</t>
        </is>
      </c>
      <c r="G38" t="inlineStr">
        <is>
          <t>FAGERSTA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51586-2023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45222</v>
      </c>
      <c r="E39" s="1" t="n">
        <v>46252</v>
      </c>
      <c r="F39" t="inlineStr">
        <is>
          <t>VÄSTMANLANDS LÄN</t>
        </is>
      </c>
      <c r="G39" t="inlineStr">
        <is>
          <t>FAGERSTA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46252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46252</v>
      </c>
      <c r="F41" t="inlineStr">
        <is>
          <t>VÄSTMANLANDS LÄN</t>
        </is>
      </c>
      <c r="G41" t="inlineStr">
        <is>
          <t>FAGERSTA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33236-2025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45840</v>
      </c>
      <c r="E42" s="1" t="n">
        <v>46252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33232-2025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45840</v>
      </c>
      <c r="E43" s="1" t="n">
        <v>46252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33238-2025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45840</v>
      </c>
      <c r="E44" s="1" t="n">
        <v>46252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56694-2024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45627</v>
      </c>
      <c r="E45" s="1" t="n">
        <v>46252</v>
      </c>
      <c r="F45" t="inlineStr">
        <is>
          <t>VÄSTMANLANDS LÄN</t>
        </is>
      </c>
      <c r="G45" t="inlineStr">
        <is>
          <t>FAGERSTA</t>
        </is>
      </c>
      <c r="I45" t="n">
        <v>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22482-2023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45071</v>
      </c>
      <c r="E46" s="1" t="n">
        <v>46252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45071</v>
      </c>
      <c r="E47" s="1" t="n">
        <v>46252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34374-2025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45846</v>
      </c>
      <c r="E48" s="1" t="n">
        <v>46252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28425-2025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45819</v>
      </c>
      <c r="E49" s="1" t="n">
        <v>46252</v>
      </c>
      <c r="F49" t="inlineStr">
        <is>
          <t>VÄSTMANLANDS LÄN</t>
        </is>
      </c>
      <c r="G49" t="inlineStr">
        <is>
          <t>FAGERSTA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46252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19888-2025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46252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16.8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63480-2023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45274</v>
      </c>
      <c r="E52" s="1" t="n">
        <v>46252</v>
      </c>
      <c r="F52" t="inlineStr">
        <is>
          <t>VÄSTMANLANDS LÄN</t>
        </is>
      </c>
      <c r="G52" t="inlineStr">
        <is>
          <t>FAGERSTA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45128</v>
      </c>
      <c r="E53" s="1" t="n">
        <v>46252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46252</v>
      </c>
      <c r="F54" t="inlineStr">
        <is>
          <t>VÄSTMANLANDS LÄN</t>
        </is>
      </c>
      <c r="G54" t="inlineStr">
        <is>
          <t>FAGERSTA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56698-2024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45627</v>
      </c>
      <c r="E55" s="1" t="n">
        <v>46252</v>
      </c>
      <c r="F55" t="inlineStr">
        <is>
          <t>VÄSTMANLANDS LÄN</t>
        </is>
      </c>
      <c r="G55" t="inlineStr">
        <is>
          <t>FAGERSTA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46252</v>
      </c>
      <c r="F56" t="inlineStr">
        <is>
          <t>VÄSTMANLANDS LÄN</t>
        </is>
      </c>
      <c r="G56" t="inlineStr">
        <is>
          <t>FAGERSTA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46252</v>
      </c>
      <c r="F57" t="inlineStr">
        <is>
          <t>VÄSTMANLANDS LÄN</t>
        </is>
      </c>
      <c r="G57" t="inlineStr">
        <is>
          <t>FAGERSTA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7380-2025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45705</v>
      </c>
      <c r="E58" s="1" t="n">
        <v>46252</v>
      </c>
      <c r="F58" t="inlineStr">
        <is>
          <t>VÄSTMANLANDS LÄN</t>
        </is>
      </c>
      <c r="G58" t="inlineStr">
        <is>
          <t>FAGERSTA</t>
        </is>
      </c>
      <c r="H58" t="inlineStr">
        <is>
          <t>Bergvik skog väst AB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45722</v>
      </c>
      <c r="E59" s="1" t="n">
        <v>46252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44481</v>
      </c>
      <c r="E60" s="1" t="n">
        <v>46252</v>
      </c>
      <c r="F60" t="inlineStr">
        <is>
          <t>VÄSTMANLANDS LÄN</t>
        </is>
      </c>
      <c r="G60" t="inlineStr">
        <is>
          <t>FAGERSTA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13697-2025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45737</v>
      </c>
      <c r="E61" s="1" t="n">
        <v>46252</v>
      </c>
      <c r="F61" t="inlineStr">
        <is>
          <t>VÄSTMANLANDS LÄN</t>
        </is>
      </c>
      <c r="G61" t="inlineStr">
        <is>
          <t>FAGERSTA</t>
        </is>
      </c>
      <c r="H61" t="inlineStr">
        <is>
          <t>Bergvik skog väst AB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46252</v>
      </c>
      <c r="F62" t="inlineStr">
        <is>
          <t>VÄSTMANLANDS LÄN</t>
        </is>
      </c>
      <c r="G62" t="inlineStr">
        <is>
          <t>FAGERSTA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19156-2025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45769</v>
      </c>
      <c r="E63" s="1" t="n">
        <v>46252</v>
      </c>
      <c r="F63" t="inlineStr">
        <is>
          <t>VÄSTMANLANDS LÄN</t>
        </is>
      </c>
      <c r="G63" t="inlineStr">
        <is>
          <t>FAGERSTA</t>
        </is>
      </c>
      <c r="H63" t="inlineStr">
        <is>
          <t>Bergvik skog väst AB</t>
        </is>
      </c>
      <c r="I63" t="n">
        <v>10.1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42844-2024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45566</v>
      </c>
      <c r="E64" s="1" t="n">
        <v>46252</v>
      </c>
      <c r="F64" t="inlineStr">
        <is>
          <t>VÄSTMANLANDS LÄN</t>
        </is>
      </c>
      <c r="G64" t="inlineStr">
        <is>
          <t>FAGERSTA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19153-2025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45769</v>
      </c>
      <c r="E65" s="1" t="n">
        <v>46252</v>
      </c>
      <c r="F65" t="inlineStr">
        <is>
          <t>VÄSTMANLANDS LÄN</t>
        </is>
      </c>
      <c r="G65" t="inlineStr">
        <is>
          <t>FAGERSTA</t>
        </is>
      </c>
      <c r="I65" t="n">
        <v>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45635</v>
      </c>
      <c r="E66" s="1" t="n">
        <v>46252</v>
      </c>
      <c r="F66" t="inlineStr">
        <is>
          <t>VÄSTMANLANDS LÄN</t>
        </is>
      </c>
      <c r="G66" t="inlineStr">
        <is>
          <t>FAGERSTA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63305-2025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46010</v>
      </c>
      <c r="E67" s="1" t="n">
        <v>46252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44919</v>
      </c>
      <c r="E68" s="1" t="n">
        <v>46252</v>
      </c>
      <c r="F68" t="inlineStr">
        <is>
          <t>VÄSTMANLANDS LÄN</t>
        </is>
      </c>
      <c r="G68" t="inlineStr">
        <is>
          <t>FAGERSTA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31482-2026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46223</v>
      </c>
      <c r="E69" s="1" t="n">
        <v>46252</v>
      </c>
      <c r="F69" t="inlineStr">
        <is>
          <t>VÄSTMANLANDS LÄN</t>
        </is>
      </c>
      <c r="G69" t="inlineStr">
        <is>
          <t>FAGERSTA</t>
        </is>
      </c>
      <c r="H69" t="inlineStr">
        <is>
          <t>Övriga Aktiebolag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45442</v>
      </c>
      <c r="E70" s="1" t="n">
        <v>46252</v>
      </c>
      <c r="F70" t="inlineStr">
        <is>
          <t>VÄSTMANLANDS LÄN</t>
        </is>
      </c>
      <c r="G70" t="inlineStr">
        <is>
          <t>FAGERSTA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22590-2025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45789</v>
      </c>
      <c r="E71" s="1" t="n">
        <v>46252</v>
      </c>
      <c r="F71" t="inlineStr">
        <is>
          <t>VÄSTMANLANDS LÄN</t>
        </is>
      </c>
      <c r="G71" t="inlineStr">
        <is>
          <t>FAGERSTA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44953</v>
      </c>
      <c r="E72" s="1" t="n">
        <v>46252</v>
      </c>
      <c r="F72" t="inlineStr">
        <is>
          <t>VÄSTMANLANDS LÄN</t>
        </is>
      </c>
      <c r="G72" t="inlineStr">
        <is>
          <t>FAGERSTA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45762</v>
      </c>
      <c r="E73" s="1" t="n">
        <v>46252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12125-2023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44998</v>
      </c>
      <c r="E74" s="1" t="n">
        <v>46252</v>
      </c>
      <c r="F74" t="inlineStr">
        <is>
          <t>VÄSTMANLANDS LÄN</t>
        </is>
      </c>
      <c r="G74" t="inlineStr">
        <is>
          <t>FAGERSTA</t>
        </is>
      </c>
      <c r="H74" t="inlineStr">
        <is>
          <t>Övriga Aktiebolag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26057-2026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46252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37955-2023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45160</v>
      </c>
      <c r="E76" s="1" t="n">
        <v>46252</v>
      </c>
      <c r="F76" t="inlineStr">
        <is>
          <t>VÄSTMANLANDS LÄN</t>
        </is>
      </c>
      <c r="G76" t="inlineStr">
        <is>
          <t>FAGERSTA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15812-2025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45748</v>
      </c>
      <c r="E77" s="1" t="n">
        <v>46252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44994</v>
      </c>
      <c r="E78" s="1" t="n">
        <v>46252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32249-2022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44781</v>
      </c>
      <c r="E79" s="1" t="n">
        <v>46252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46252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45071</v>
      </c>
      <c r="E81" s="1" t="n">
        <v>46252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60374-2025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45995</v>
      </c>
      <c r="E82" s="1" t="n">
        <v>46252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46077</v>
      </c>
      <c r="E83" s="1" t="n">
        <v>46252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19.5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46078</v>
      </c>
      <c r="E84" s="1" t="n">
        <v>46252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18.6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10526-2026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46077</v>
      </c>
      <c r="E85" s="1" t="n">
        <v>46252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45627</v>
      </c>
      <c r="E86" s="1" t="n">
        <v>46252</v>
      </c>
      <c r="F86" t="inlineStr">
        <is>
          <t>VÄSTMANLANDS LÄN</t>
        </is>
      </c>
      <c r="G86" t="inlineStr">
        <is>
          <t>FAGERSTA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31231-2024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45503</v>
      </c>
      <c r="E87" s="1" t="n">
        <v>46252</v>
      </c>
      <c r="F87" t="inlineStr">
        <is>
          <t>VÄSTMANLANDS LÄN</t>
        </is>
      </c>
      <c r="G87" t="inlineStr">
        <is>
          <t>FAGERSTA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46252</v>
      </c>
      <c r="F88" t="inlineStr">
        <is>
          <t>VÄSTMANLANDS LÄN</t>
        </is>
      </c>
      <c r="G88" t="inlineStr">
        <is>
          <t>FAGERSTA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20909-2024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45439</v>
      </c>
      <c r="E89" s="1" t="n">
        <v>46252</v>
      </c>
      <c r="F89" t="inlineStr">
        <is>
          <t>VÄSTMANLANDS LÄN</t>
        </is>
      </c>
      <c r="G89" t="inlineStr">
        <is>
          <t>FAGERSTA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32004-2025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45835</v>
      </c>
      <c r="E90" s="1" t="n">
        <v>46252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45390-2023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45193</v>
      </c>
      <c r="E91" s="1" t="n">
        <v>46252</v>
      </c>
      <c r="F91" t="inlineStr">
        <is>
          <t>VÄSTMANLANDS LÄN</t>
        </is>
      </c>
      <c r="G91" t="inlineStr">
        <is>
          <t>FAGERSTA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46122</v>
      </c>
      <c r="E92" s="1" t="n">
        <v>46252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32433-2026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46239</v>
      </c>
      <c r="E93" s="1" t="n">
        <v>46252</v>
      </c>
      <c r="F93" t="inlineStr">
        <is>
          <t>VÄSTMANLANDS LÄN</t>
        </is>
      </c>
      <c r="G93" t="inlineStr">
        <is>
          <t>FAGERSTA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46252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46128</v>
      </c>
      <c r="E95" s="1" t="n">
        <v>46252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18781-2026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46128</v>
      </c>
      <c r="E96" s="1" t="n">
        <v>46252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8.699999999999999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18783-2026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46128</v>
      </c>
      <c r="E97" s="1" t="n">
        <v>46252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19213-2025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46252</v>
      </c>
      <c r="F98" t="inlineStr">
        <is>
          <t>VÄSTMANLANDS LÄN</t>
        </is>
      </c>
      <c r="G98" t="inlineStr">
        <is>
          <t>FAGERSTA</t>
        </is>
      </c>
      <c r="H98" t="inlineStr">
        <is>
          <t>Övriga Aktiebolag</t>
        </is>
      </c>
      <c r="I98" t="n">
        <v>14.6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46134</v>
      </c>
      <c r="E99" s="1" t="n">
        <v>46252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19825-2026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46135</v>
      </c>
      <c r="E100" s="1" t="n">
        <v>46252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45125</v>
      </c>
      <c r="E101" s="1" t="n">
        <v>46252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46134</v>
      </c>
      <c r="E102" s="1" t="n">
        <v>46252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33193-2026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46246</v>
      </c>
      <c r="E103" s="1" t="n">
        <v>46252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46246</v>
      </c>
      <c r="E104" s="1" t="n">
        <v>46252</v>
      </c>
      <c r="F104" t="inlineStr">
        <is>
          <t>VÄSTMANLANDS LÄN</t>
        </is>
      </c>
      <c r="G104" t="inlineStr">
        <is>
          <t>FAGERSTA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46246</v>
      </c>
      <c r="E105" s="1" t="n">
        <v>46252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45821</v>
      </c>
      <c r="E106" s="1" t="n">
        <v>46252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20583-2026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46140</v>
      </c>
      <c r="E107" s="1" t="n">
        <v>46252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46252</v>
      </c>
      <c r="F108" t="inlineStr">
        <is>
          <t>VÄSTMANLANDS LÄN</t>
        </is>
      </c>
      <c r="G108" t="inlineStr">
        <is>
          <t>FAGERSTA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46094</v>
      </c>
      <c r="E109" s="1" t="n">
        <v>46252</v>
      </c>
      <c r="F109" t="inlineStr">
        <is>
          <t>VÄSTMANLANDS LÄN</t>
        </is>
      </c>
      <c r="G109" t="inlineStr">
        <is>
          <t>FAGERSTA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21891-2026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46252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11.8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21890-2026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46252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21888-2026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46252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21889-2026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46252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21892-2026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46252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41644-2025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45902</v>
      </c>
      <c r="E115" s="1" t="n">
        <v>46252</v>
      </c>
      <c r="F115" t="inlineStr">
        <is>
          <t>VÄSTMANLANDS LÄN</t>
        </is>
      </c>
      <c r="G115" t="inlineStr">
        <is>
          <t>FAGERSTA</t>
        </is>
      </c>
      <c r="H115" t="inlineStr">
        <is>
          <t>Kommuner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45632</v>
      </c>
      <c r="E116" s="1" t="n">
        <v>46252</v>
      </c>
      <c r="F116" t="inlineStr">
        <is>
          <t>VÄSTMANLANDS LÄN</t>
        </is>
      </c>
      <c r="G116" t="inlineStr">
        <is>
          <t>FAGERSTA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44998</v>
      </c>
      <c r="E117" s="1" t="n">
        <v>46252</v>
      </c>
      <c r="F117" t="inlineStr">
        <is>
          <t>VÄSTMANLANDS LÄN</t>
        </is>
      </c>
      <c r="G117" t="inlineStr">
        <is>
          <t>FAGERSTA</t>
        </is>
      </c>
      <c r="H117" t="inlineStr">
        <is>
          <t>Övriga Aktiebolag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30813-2022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44764</v>
      </c>
      <c r="E118" s="1" t="n">
        <v>46252</v>
      </c>
      <c r="F118" t="inlineStr">
        <is>
          <t>VÄSTMANLANDS LÄN</t>
        </is>
      </c>
      <c r="G118" t="inlineStr">
        <is>
          <t>FAGERSTA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45785</v>
      </c>
      <c r="E119" s="1" t="n">
        <v>46252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45785</v>
      </c>
      <c r="E120" s="1" t="n">
        <v>46252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18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45627</v>
      </c>
      <c r="E121" s="1" t="n">
        <v>46252</v>
      </c>
      <c r="F121" t="inlineStr">
        <is>
          <t>VÄSTMANLANDS LÄN</t>
        </is>
      </c>
      <c r="G121" t="inlineStr">
        <is>
          <t>FAGERSTA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46252</v>
      </c>
      <c r="F122" t="inlineStr">
        <is>
          <t>VÄSTMANLANDS LÄN</t>
        </is>
      </c>
      <c r="G122" t="inlineStr">
        <is>
          <t>FAGERSTA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23646-2026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46164</v>
      </c>
      <c r="E123" s="1" t="n">
        <v>46252</v>
      </c>
      <c r="F123" t="inlineStr">
        <is>
          <t>VÄSTMANLANDS LÄN</t>
        </is>
      </c>
      <c r="G123" t="inlineStr">
        <is>
          <t>FAGERSTA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39157-2024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46252</v>
      </c>
      <c r="F124" t="inlineStr">
        <is>
          <t>VÄSTMANLANDS LÄN</t>
        </is>
      </c>
      <c r="G124" t="inlineStr">
        <is>
          <t>FAGERSTA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31014-2026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46213</v>
      </c>
      <c r="E125" s="1" t="n">
        <v>46252</v>
      </c>
      <c r="F125" t="inlineStr">
        <is>
          <t>VÄSTMANLANDS LÄN</t>
        </is>
      </c>
      <c r="G125" t="inlineStr">
        <is>
          <t>FAGERSTA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46252</v>
      </c>
      <c r="F126" t="inlineStr">
        <is>
          <t>VÄSTMANLANDS LÄN</t>
        </is>
      </c>
      <c r="G126" t="inlineStr">
        <is>
          <t>FAGERSTA</t>
        </is>
      </c>
      <c r="H126" t="inlineStr">
        <is>
          <t>Bergvik skog väst AB</t>
        </is>
      </c>
      <c r="I126" t="n">
        <v>22.6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2078-2025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46252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2080-2025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46252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2079-2025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46252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2121-2025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45846</v>
      </c>
      <c r="E130" s="1" t="n">
        <v>46252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3554-2025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46010</v>
      </c>
      <c r="E131" s="1" t="n">
        <v>46252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1073-2026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46128</v>
      </c>
      <c r="E132" s="1" t="n">
        <v>46252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1143-2026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46135</v>
      </c>
      <c r="E133" s="1" t="n">
        <v>46252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2026-08-18T01:47:41Z</dcterms:created>
  <dcterms:modified xmlns:dcterms="http://purl.org/dc/terms/" xmlns:xsi="http://www.w3.org/2001/XMLSchema-instance" xsi:type="dcterms:W3CDTF">2026-08-18T01:47:42Z</dcterms:modified>
</cp:coreProperties>
</file>