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3629-2024</t>
        </is>
      </c>
      <c r="B2" t="inlineStr">
        <is>
          <t>samrådsanmälan</t>
        </is>
      </c>
      <c r="C2" t="inlineStr">
        <is>
          <t>Skogsgödsling</t>
        </is>
      </c>
      <c r="D2" s="1" t="n">
        <v>45548</v>
      </c>
      <c r="E2" s="1" t="n">
        <v>46320</v>
      </c>
      <c r="F2" t="inlineStr">
        <is>
          <t>VÄSTMANLANDS LÄN</t>
        </is>
      </c>
      <c r="G2" t="inlineStr">
        <is>
          <t>FAGERSTA</t>
        </is>
      </c>
      <c r="H2" t="inlineStr">
        <is>
          <t>Sveaskog</t>
        </is>
      </c>
      <c r="I2" t="n">
        <v>784.4</v>
      </c>
      <c r="J2" t="n">
        <v>10</v>
      </c>
      <c r="K2" t="n">
        <v>7</v>
      </c>
      <c r="L2" t="n">
        <v>3</v>
      </c>
      <c r="M2" t="n">
        <v>2</v>
      </c>
      <c r="N2" t="n">
        <v>0</v>
      </c>
      <c r="O2" t="n">
        <v>0</v>
      </c>
      <c r="P2" t="n">
        <v>0</v>
      </c>
      <c r="Q2" t="n">
        <v>5</v>
      </c>
      <c r="R2" t="n">
        <v>2</v>
      </c>
      <c r="S2" t="n">
        <v>19</v>
      </c>
      <c r="T2" t="n">
        <v>24</v>
      </c>
      <c r="U2" t="n">
        <v>4</v>
      </c>
      <c r="V2" s="2" t="inlineStr">
        <is>
          <t>Aspfibbla
Gul taggsvamp
Brunklöver
Hägerströmsfibbla
Jungfrulin
Grönkulla
Korallrot
Korthornad vedstekel
Kärrkammossa
Olivspindling
Spädstarr
Tvåblad
Järpe
Grönsiska
Smålom
Skogsödla
Dubbelnycklar
Fläcknycklar
Ängsnycklar</t>
        </is>
      </c>
      <c r="W2">
        <f>HYPERLINK("https://klasma.github.io/Logging_1982/artfynd/S 3629-2024 artfynd.xlsx", "S 3629-2024")</f>
        <v/>
      </c>
      <c r="X2">
        <f>HYPERLINK("https://klasma.github.io/Logging_1982/kartor/S 3629-2024 karta.png", "S 3629-2024")</f>
        <v/>
      </c>
      <c r="Y2">
        <f>HYPERLINK("https://klasma.github.io/Logging_1982/kartor_geotiff/S 3629-2024 georefererad karta.tif", "S 3629-2024")</f>
        <v/>
      </c>
      <c r="AA2">
        <f>HYPERLINK("https://klasma.github.io/Logging_1982/klagomål/S 3629-2024 FSC-klagomål.docx", "S 3629-2024")</f>
        <v/>
      </c>
      <c r="AB2">
        <f>HYPERLINK("https://klasma.github.io/Logging_1982/klagomålsmail/S 3629-2024 FSC-klagomål mail.docx", "S 3629-2024")</f>
        <v/>
      </c>
      <c r="AC2">
        <f>HYPERLINK("https://klasma.github.io/Logging_1982/tillsyn/S 3629-2024 tillsynsbegäran.docx", "S 3629-2024")</f>
        <v/>
      </c>
      <c r="AD2">
        <f>HYPERLINK("https://klasma.github.io/Logging_1982/tillsynsmail/S 3629-2024 tillsynsbegäran mail.docx", "S 3629-2024")</f>
        <v/>
      </c>
      <c r="AE2">
        <f>HYPERLINK("https://klasma.github.io/Logging_1982/fåglar/S 3629-2024 prioriterade fågelarter.docx", "S 3629-2024")</f>
        <v/>
      </c>
    </row>
    <row r="3" ht="15" customHeight="1">
      <c r="A3" t="inlineStr">
        <is>
          <t>S 3571-2025</t>
        </is>
      </c>
      <c r="B3" t="inlineStr">
        <is>
          <t>samrådsanmälan</t>
        </is>
      </c>
      <c r="C3" t="inlineStr">
        <is>
          <t>Skogsgödsling</t>
        </is>
      </c>
      <c r="D3" s="1" t="n">
        <v>46009</v>
      </c>
      <c r="E3" s="1" t="n">
        <v>46320</v>
      </c>
      <c r="F3" t="inlineStr">
        <is>
          <t>VÄSTMANLANDS LÄN</t>
        </is>
      </c>
      <c r="G3" t="inlineStr">
        <is>
          <t>FAGERSTA</t>
        </is>
      </c>
      <c r="H3" t="inlineStr">
        <is>
          <t>Sveaskog</t>
        </is>
      </c>
      <c r="I3" t="n">
        <v>563.5</v>
      </c>
      <c r="J3" t="n">
        <v>4</v>
      </c>
      <c r="K3" t="n">
        <v>4</v>
      </c>
      <c r="L3" t="n">
        <v>3</v>
      </c>
      <c r="M3" t="n">
        <v>0</v>
      </c>
      <c r="N3" t="n">
        <v>1</v>
      </c>
      <c r="O3" t="n">
        <v>0</v>
      </c>
      <c r="P3" t="n">
        <v>0</v>
      </c>
      <c r="Q3" t="n">
        <v>4</v>
      </c>
      <c r="R3" t="n">
        <v>1</v>
      </c>
      <c r="S3" t="n">
        <v>9</v>
      </c>
      <c r="T3" t="n">
        <v>13</v>
      </c>
      <c r="U3" t="n">
        <v>0</v>
      </c>
      <c r="V3" s="2" t="inlineStr">
        <is>
          <t>Mosippa
Brunklöver
Dofttaggsvamp
Motaggsvamp
Källpraktmossa
Plattlummer
Spindelblomster
Zontaggsvamp
Mattlummer</t>
        </is>
      </c>
      <c r="W3">
        <f>HYPERLINK("https://klasma.github.io/Logging_1982/artfynd/S 3571-2025 artfynd.xlsx", "S 3571-2025")</f>
        <v/>
      </c>
      <c r="X3">
        <f>HYPERLINK("https://klasma.github.io/Logging_1982/kartor/S 3571-2025 karta.png", "S 3571-2025")</f>
        <v/>
      </c>
      <c r="Y3">
        <f>HYPERLINK("https://klasma.github.io/Logging_1982/kartor_geotiff/S 3571-2025 georefererad karta.tif", "S 3571-2025")</f>
        <v/>
      </c>
      <c r="AA3">
        <f>HYPERLINK("https://klasma.github.io/Logging_1982/klagomål/S 3571-2025 FSC-klagomål.docx", "S 3571-2025")</f>
        <v/>
      </c>
      <c r="AB3">
        <f>HYPERLINK("https://klasma.github.io/Logging_1982/klagomålsmail/S 3571-2025 FSC-klagomål mail.docx", "S 3571-2025")</f>
        <v/>
      </c>
      <c r="AC3">
        <f>HYPERLINK("https://klasma.github.io/Logging_1982/tillsyn/S 3571-2025 tillsynsbegäran.docx", "S 3571-2025")</f>
        <v/>
      </c>
      <c r="AD3">
        <f>HYPERLINK("https://klasma.github.io/Logging_1982/tillsynsmail/S 3571-2025 tillsynsbegäran mail.docx", "S 3571-2025")</f>
        <v/>
      </c>
    </row>
    <row r="4" ht="15" customHeight="1">
      <c r="A4" t="inlineStr">
        <is>
          <t>A 28438-2022</t>
        </is>
      </c>
      <c r="B4" t="inlineStr">
        <is>
          <t>avverkningsanmälan</t>
        </is>
      </c>
      <c r="C4" t="inlineStr">
        <is>
          <t>Avverkning för att bevara och utveckla /försöksver</t>
        </is>
      </c>
      <c r="D4" s="1" t="n">
        <v>44747</v>
      </c>
      <c r="E4" s="1" t="n">
        <v>46320</v>
      </c>
      <c r="F4" t="inlineStr">
        <is>
          <t>VÄSTMANLANDS LÄN</t>
        </is>
      </c>
      <c r="G4" t="inlineStr">
        <is>
          <t>FAGERSTA</t>
        </is>
      </c>
      <c r="H4" t="inlineStr">
        <is>
          <t>Sveaskog</t>
        </is>
      </c>
      <c r="I4" t="n">
        <v>2.6</v>
      </c>
      <c r="J4" t="n">
        <v>1</v>
      </c>
      <c r="K4" t="n">
        <v>1</v>
      </c>
      <c r="L4" t="n">
        <v>5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0</v>
      </c>
      <c r="S4" t="n">
        <v>7</v>
      </c>
      <c r="T4" t="n">
        <v>7</v>
      </c>
      <c r="U4" t="n">
        <v>6</v>
      </c>
      <c r="V4" s="2" t="inlineStr">
        <is>
          <t>Motaggsvamp
Stjärntagging
Tallticka
Ullticka
Vedtrappmossa
Kornknutmossa
Orre</t>
        </is>
      </c>
      <c r="W4">
        <f>HYPERLINK("https://klasma.github.io/Logging_1982/artfynd/A 28438-2022 artfynd.xlsx", "A 28438-2022")</f>
        <v/>
      </c>
      <c r="X4">
        <f>HYPERLINK("https://klasma.github.io/Logging_1982/kartor/A 28438-2022 karta.png", "A 28438-2022")</f>
        <v/>
      </c>
      <c r="Y4">
        <f>HYPERLINK("https://klasma.github.io/Logging_1982/kartor_geotiff/A 28438-2022 georefererad karta.tif", "A 28438-2022")</f>
        <v/>
      </c>
      <c r="AA4">
        <f>HYPERLINK("https://klasma.github.io/Logging_1982/klagomål/A 28438-2022 FSC-klagomål.docx", "A 28438-2022")</f>
        <v/>
      </c>
      <c r="AB4">
        <f>HYPERLINK("https://klasma.github.io/Logging_1982/klagomålsmail/A 28438-2022 FSC-klagomål mail.docx", "A 28438-2022")</f>
        <v/>
      </c>
      <c r="AC4">
        <f>HYPERLINK("https://klasma.github.io/Logging_1982/tillsyn/A 28438-2022 tillsynsbegäran.docx", "A 28438-2022")</f>
        <v/>
      </c>
      <c r="AD4">
        <f>HYPERLINK("https://klasma.github.io/Logging_1982/tillsynsmail/A 28438-2022 tillsynsbegäran mail.docx", "A 28438-2022")</f>
        <v/>
      </c>
      <c r="AE4">
        <f>HYPERLINK("https://klasma.github.io/Logging_1982/fåglar/A 28438-2022 prioriterade fågelarter.docx", "A 28438-2022")</f>
        <v/>
      </c>
    </row>
    <row r="5" ht="15" customHeight="1">
      <c r="A5" t="inlineStr">
        <is>
          <t>A 12909-2025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45733</v>
      </c>
      <c r="E5" s="1" t="n">
        <v>46320</v>
      </c>
      <c r="F5" t="inlineStr">
        <is>
          <t>VÄSTMANLANDS LÄN</t>
        </is>
      </c>
      <c r="G5" t="inlineStr">
        <is>
          <t>FAGERSTA</t>
        </is>
      </c>
      <c r="I5" t="n">
        <v>10.9</v>
      </c>
      <c r="J5" t="n">
        <v>3</v>
      </c>
      <c r="K5" t="n">
        <v>0</v>
      </c>
      <c r="L5" t="n">
        <v>5</v>
      </c>
      <c r="M5" t="n">
        <v>1</v>
      </c>
      <c r="N5" t="n">
        <v>0</v>
      </c>
      <c r="O5" t="n">
        <v>0</v>
      </c>
      <c r="P5" t="n">
        <v>0</v>
      </c>
      <c r="Q5" t="n">
        <v>6</v>
      </c>
      <c r="R5" t="n">
        <v>1</v>
      </c>
      <c r="S5" t="n">
        <v>7</v>
      </c>
      <c r="T5" t="n">
        <v>18</v>
      </c>
      <c r="U5" t="n">
        <v>12</v>
      </c>
      <c r="V5" s="2" t="inlineStr">
        <is>
          <t>Knärot
Dofttaggsvamp
Motaggsvamp
Talltita
Ullticka
Älg
Tjäder</t>
        </is>
      </c>
      <c r="W5">
        <f>HYPERLINK("https://klasma.github.io/Logging_1982/artfynd/A 12909-2025 artfynd.xlsx", "A 12909-2025")</f>
        <v/>
      </c>
      <c r="X5">
        <f>HYPERLINK("https://klasma.github.io/Logging_1982/kartor/A 12909-2025 karta.png", "A 12909-2025")</f>
        <v/>
      </c>
      <c r="Y5">
        <f>HYPERLINK("https://klasma.github.io/Logging_1982/kartor_geotiff/A 12909-2025 georefererad karta.tif", "A 12909-2025")</f>
        <v/>
      </c>
      <c r="Z5">
        <f>HYPERLINK("https://klasma.github.io/Logging_1982/knärot/A 12909-2025 karta knärot.png", "A 12909-2025")</f>
        <v/>
      </c>
      <c r="AA5">
        <f>HYPERLINK("https://klasma.github.io/Logging_1982/klagomål/A 12909-2025 FSC-klagomål.docx", "A 12909-2025")</f>
        <v/>
      </c>
      <c r="AB5">
        <f>HYPERLINK("https://klasma.github.io/Logging_1982/klagomålsmail/A 12909-2025 FSC-klagomål mail.docx", "A 12909-2025")</f>
        <v/>
      </c>
      <c r="AC5">
        <f>HYPERLINK("https://klasma.github.io/Logging_1982/tillsyn/A 12909-2025 tillsynsbegäran.docx", "A 12909-2025")</f>
        <v/>
      </c>
      <c r="AD5">
        <f>HYPERLINK("https://klasma.github.io/Logging_1982/tillsynsmail/A 12909-2025 tillsynsbegäran mail.docx", "A 12909-2025")</f>
        <v/>
      </c>
      <c r="AE5">
        <f>HYPERLINK("https://klasma.github.io/Logging_1982/fåglar/A 12909-2025 prioriterade fågelarter.docx", "A 12909-2025")</f>
        <v/>
      </c>
    </row>
    <row r="6" ht="15" customHeight="1">
      <c r="A6" t="inlineStr">
        <is>
          <t>A 17686-2025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45758</v>
      </c>
      <c r="E6" s="1" t="n">
        <v>46320</v>
      </c>
      <c r="F6" t="inlineStr">
        <is>
          <t>VÄSTMANLANDS LÄN</t>
        </is>
      </c>
      <c r="G6" t="inlineStr">
        <is>
          <t>FAGERSTA</t>
        </is>
      </c>
      <c r="I6" t="n">
        <v>4.8</v>
      </c>
      <c r="J6" t="n">
        <v>2</v>
      </c>
      <c r="K6" t="n">
        <v>1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1</v>
      </c>
      <c r="S6" t="n">
        <v>4</v>
      </c>
      <c r="T6" t="n">
        <v>7</v>
      </c>
      <c r="U6" t="n">
        <v>0</v>
      </c>
      <c r="V6" s="2" t="inlineStr">
        <is>
          <t>Knärot
Gropticka
Talltita
Vedticka</t>
        </is>
      </c>
      <c r="W6">
        <f>HYPERLINK("https://klasma.github.io/Logging_1982/artfynd/A 17686-2025 artfynd.xlsx", "A 17686-2025")</f>
        <v/>
      </c>
      <c r="X6">
        <f>HYPERLINK("https://klasma.github.io/Logging_1982/kartor/A 17686-2025 karta.png", "A 17686-2025")</f>
        <v/>
      </c>
      <c r="Y6">
        <f>HYPERLINK("https://klasma.github.io/Logging_1982/kartor_geotiff/A 17686-2025 georefererad karta.tif", "A 17686-2025")</f>
        <v/>
      </c>
      <c r="Z6">
        <f>HYPERLINK("https://klasma.github.io/Logging_1982/knärot/A 17686-2025 karta knärot.png", "A 17686-2025")</f>
        <v/>
      </c>
      <c r="AA6">
        <f>HYPERLINK("https://klasma.github.io/Logging_1982/klagomål/A 17686-2025 FSC-klagomål.docx", "A 17686-2025")</f>
        <v/>
      </c>
      <c r="AB6">
        <f>HYPERLINK("https://klasma.github.io/Logging_1982/klagomålsmail/A 17686-2025 FSC-klagomål mail.docx", "A 17686-2025")</f>
        <v/>
      </c>
      <c r="AC6">
        <f>HYPERLINK("https://klasma.github.io/Logging_1982/tillsyn/A 17686-2025 tillsynsbegäran.docx", "A 17686-2025")</f>
        <v/>
      </c>
      <c r="AD6">
        <f>HYPERLINK("https://klasma.github.io/Logging_1982/tillsynsmail/A 17686-2025 tillsynsbegäran mail.docx", "A 17686-2025")</f>
        <v/>
      </c>
      <c r="AE6">
        <f>HYPERLINK("https://klasma.github.io/Logging_1982/fåglar/A 17686-2025 prioriterade fågelarter.docx", "A 17686-2025")</f>
        <v/>
      </c>
    </row>
    <row r="7" ht="15" customHeight="1">
      <c r="A7" t="inlineStr">
        <is>
          <t>A 28435-2022</t>
        </is>
      </c>
      <c r="B7" t="inlineStr">
        <is>
          <t>avverkningsanmälan</t>
        </is>
      </c>
      <c r="C7" t="inlineStr">
        <is>
          <t>Avverkning för att bevara och utveckla /försöksver</t>
        </is>
      </c>
      <c r="D7" s="1" t="n">
        <v>44747</v>
      </c>
      <c r="E7" s="1" t="n">
        <v>46320</v>
      </c>
      <c r="F7" t="inlineStr">
        <is>
          <t>VÄSTMANLANDS LÄN</t>
        </is>
      </c>
      <c r="G7" t="inlineStr">
        <is>
          <t>FAGERSTA</t>
        </is>
      </c>
      <c r="H7" t="inlineStr">
        <is>
          <t>Sveaskog</t>
        </is>
      </c>
      <c r="I7" t="n">
        <v>0.9</v>
      </c>
      <c r="J7" t="n">
        <v>0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3</v>
      </c>
      <c r="T7" t="n">
        <v>4</v>
      </c>
      <c r="U7" t="n">
        <v>2</v>
      </c>
      <c r="V7" s="2" t="inlineStr">
        <is>
          <t>Stjärntagging
Mörk husmossa
Spädstarr</t>
        </is>
      </c>
      <c r="W7">
        <f>HYPERLINK("https://klasma.github.io/Logging_1982/artfynd/A 28435-2022 artfynd.xlsx", "A 28435-2022")</f>
        <v/>
      </c>
      <c r="X7">
        <f>HYPERLINK("https://klasma.github.io/Logging_1982/kartor/A 28435-2022 karta.png", "A 28435-2022")</f>
        <v/>
      </c>
      <c r="Y7">
        <f>HYPERLINK("https://klasma.github.io/Logging_1982/kartor_geotiff/A 28435-2022 georefererad karta.tif", "A 28435-2022")</f>
        <v/>
      </c>
      <c r="AA7">
        <f>HYPERLINK("https://klasma.github.io/Logging_1982/klagomål/A 28435-2022 FSC-klagomål.docx", "A 28435-2022")</f>
        <v/>
      </c>
      <c r="AB7">
        <f>HYPERLINK("https://klasma.github.io/Logging_1982/klagomålsmail/A 28435-2022 FSC-klagomål mail.docx", "A 28435-2022")</f>
        <v/>
      </c>
      <c r="AC7">
        <f>HYPERLINK("https://klasma.github.io/Logging_1982/tillsyn/A 28435-2022 tillsynsbegäran.docx", "A 28435-2022")</f>
        <v/>
      </c>
      <c r="AD7">
        <f>HYPERLINK("https://klasma.github.io/Logging_1982/tillsynsmail/A 28435-2022 tillsynsbegäran mail.docx", "A 28435-2022")</f>
        <v/>
      </c>
    </row>
    <row r="8" ht="15" customHeight="1">
      <c r="A8" t="inlineStr">
        <is>
          <t>A 51033-2025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45947</v>
      </c>
      <c r="E8" s="1" t="n">
        <v>46320</v>
      </c>
      <c r="F8" t="inlineStr">
        <is>
          <t>VÄSTMANLANDS LÄN</t>
        </is>
      </c>
      <c r="G8" t="inlineStr">
        <is>
          <t>FAGERSTA</t>
        </is>
      </c>
      <c r="H8" t="inlineStr">
        <is>
          <t>Kommuner</t>
        </is>
      </c>
      <c r="I8" t="n">
        <v>5.2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1</v>
      </c>
      <c r="S8" t="n">
        <v>3</v>
      </c>
      <c r="T8" t="n">
        <v>3</v>
      </c>
      <c r="U8" t="n">
        <v>2</v>
      </c>
      <c r="V8" s="2" t="inlineStr">
        <is>
          <t>Gul taggsvamp
Fjällig taggsvamp s.str.
Grönkulla</t>
        </is>
      </c>
      <c r="W8">
        <f>HYPERLINK("https://klasma.github.io/Logging_1982/artfynd/A 51033-2025 artfynd.xlsx", "A 51033-2025")</f>
        <v/>
      </c>
      <c r="X8">
        <f>HYPERLINK("https://klasma.github.io/Logging_1982/kartor/A 51033-2025 karta.png", "A 51033-2025")</f>
        <v/>
      </c>
      <c r="Y8">
        <f>HYPERLINK("https://klasma.github.io/Logging_1982/kartor_geotiff/A 51033-2025 georefererad karta.tif", "A 51033-2025")</f>
        <v/>
      </c>
      <c r="AA8">
        <f>HYPERLINK("https://klasma.github.io/Logging_1982/klagomål/A 51033-2025 FSC-klagomål.docx", "A 51033-2025")</f>
        <v/>
      </c>
      <c r="AB8">
        <f>HYPERLINK("https://klasma.github.io/Logging_1982/klagomålsmail/A 51033-2025 FSC-klagomål mail.docx", "A 51033-2025")</f>
        <v/>
      </c>
      <c r="AC8">
        <f>HYPERLINK("https://klasma.github.io/Logging_1982/tillsyn/A 51033-2025 tillsynsbegäran.docx", "A 51033-2025")</f>
        <v/>
      </c>
      <c r="AD8">
        <f>HYPERLINK("https://klasma.github.io/Logging_1982/tillsynsmail/A 51033-2025 tillsynsbegäran mail.docx", "A 51033-2025")</f>
        <v/>
      </c>
    </row>
    <row r="9" ht="15" customHeight="1">
      <c r="A9" t="inlineStr">
        <is>
          <t>A 62470-2021</t>
        </is>
      </c>
      <c r="B9" t="inlineStr">
        <is>
          <t>avverkningsanmälan</t>
        </is>
      </c>
      <c r="C9" t="inlineStr">
        <is>
          <t>Avverkning för att bevara och utveckla /försöksver</t>
        </is>
      </c>
      <c r="D9" s="1" t="n">
        <v>44503</v>
      </c>
      <c r="E9" s="1" t="n">
        <v>46320</v>
      </c>
      <c r="F9" t="inlineStr">
        <is>
          <t>VÄSTMANLANDS LÄN</t>
        </is>
      </c>
      <c r="G9" t="inlineStr">
        <is>
          <t>FAGERSTA</t>
        </is>
      </c>
      <c r="H9" t="inlineStr">
        <is>
          <t>Sveaskog</t>
        </is>
      </c>
      <c r="I9" t="n">
        <v>1.6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2</v>
      </c>
      <c r="T9" t="n">
        <v>2</v>
      </c>
      <c r="U9" t="n">
        <v>1</v>
      </c>
      <c r="V9" s="2" t="inlineStr">
        <is>
          <t>Skogsalm
Spädstarr</t>
        </is>
      </c>
      <c r="W9">
        <f>HYPERLINK("https://klasma.github.io/Logging_1982/artfynd/A 62470-2021 artfynd.xlsx", "A 62470-2021")</f>
        <v/>
      </c>
      <c r="X9">
        <f>HYPERLINK("https://klasma.github.io/Logging_1982/kartor/A 62470-2021 karta.png", "A 62470-2021")</f>
        <v/>
      </c>
      <c r="Y9">
        <f>HYPERLINK("https://klasma.github.io/Logging_1982/kartor_geotiff/A 62470-2021 georefererad karta.tif", "A 62470-2021")</f>
        <v/>
      </c>
      <c r="AA9">
        <f>HYPERLINK("https://klasma.github.io/Logging_1982/klagomål/A 62470-2021 FSC-klagomål.docx", "A 62470-2021")</f>
        <v/>
      </c>
      <c r="AB9">
        <f>HYPERLINK("https://klasma.github.io/Logging_1982/klagomålsmail/A 62470-2021 FSC-klagomål mail.docx", "A 62470-2021")</f>
        <v/>
      </c>
      <c r="AC9">
        <f>HYPERLINK("https://klasma.github.io/Logging_1982/tillsyn/A 62470-2021 tillsynsbegäran.docx", "A 62470-2021")</f>
        <v/>
      </c>
      <c r="AD9">
        <f>HYPERLINK("https://klasma.github.io/Logging_1982/tillsynsmail/A 62470-2021 tillsynsbegäran mail.docx", "A 62470-2021")</f>
        <v/>
      </c>
    </row>
    <row r="10" ht="15" customHeight="1">
      <c r="A10" t="inlineStr">
        <is>
          <t>A 29532-2022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44753</v>
      </c>
      <c r="E10" s="1" t="n">
        <v>46320</v>
      </c>
      <c r="F10" t="inlineStr">
        <is>
          <t>VÄSTMANLANDS LÄN</t>
        </is>
      </c>
      <c r="G10" t="inlineStr">
        <is>
          <t>FAGERSTA</t>
        </is>
      </c>
      <c r="I10" t="n">
        <v>4.7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2</v>
      </c>
      <c r="T10" t="n">
        <v>2</v>
      </c>
      <c r="U10" t="n">
        <v>0</v>
      </c>
      <c r="V10" s="2" t="inlineStr">
        <is>
          <t>Backruta
Hagfingersvamp</t>
        </is>
      </c>
      <c r="W10">
        <f>HYPERLINK("https://klasma.github.io/Logging_1982/artfynd/A 29532-2022 artfynd.xlsx", "A 29532-2022")</f>
        <v/>
      </c>
      <c r="X10">
        <f>HYPERLINK("https://klasma.github.io/Logging_1982/kartor/A 29532-2022 karta.png", "A 29532-2022")</f>
        <v/>
      </c>
      <c r="Y10">
        <f>HYPERLINK("https://klasma.github.io/Logging_1982/kartor_geotiff/A 29532-2022 georefererad karta.tif", "A 29532-2022")</f>
        <v/>
      </c>
      <c r="AA10">
        <f>HYPERLINK("https://klasma.github.io/Logging_1982/klagomål/A 29532-2022 FSC-klagomål.docx", "A 29532-2022")</f>
        <v/>
      </c>
      <c r="AB10">
        <f>HYPERLINK("https://klasma.github.io/Logging_1982/klagomålsmail/A 29532-2022 FSC-klagomål mail.docx", "A 29532-2022")</f>
        <v/>
      </c>
      <c r="AC10">
        <f>HYPERLINK("https://klasma.github.io/Logging_1982/tillsyn/A 29532-2022 tillsynsbegäran.docx", "A 29532-2022")</f>
        <v/>
      </c>
      <c r="AD10">
        <f>HYPERLINK("https://klasma.github.io/Logging_1982/tillsynsmail/A 29532-2022 tillsynsbegäran mail.docx", "A 29532-2022")</f>
        <v/>
      </c>
    </row>
    <row r="11" ht="15" customHeight="1">
      <c r="A11" t="inlineStr">
        <is>
          <t>A 1683-2026</t>
        </is>
      </c>
      <c r="B11" t="inlineStr">
        <is>
          <t>avverkningsanmälan</t>
        </is>
      </c>
      <c r="C11" t="inlineStr">
        <is>
          <t>Avverkning för att bevara och utveckla /försöksver</t>
        </is>
      </c>
      <c r="D11" s="1" t="n">
        <v>46034</v>
      </c>
      <c r="E11" s="1" t="n">
        <v>46320</v>
      </c>
      <c r="F11" t="inlineStr">
        <is>
          <t>VÄSTMANLANDS LÄN</t>
        </is>
      </c>
      <c r="G11" t="inlineStr">
        <is>
          <t>FAGERSTA</t>
        </is>
      </c>
      <c r="H11" t="inlineStr">
        <is>
          <t>Kommuner</t>
        </is>
      </c>
      <c r="I11" t="n">
        <v>29.2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2</v>
      </c>
      <c r="R11" t="n">
        <v>1</v>
      </c>
      <c r="S11" t="n">
        <v>2</v>
      </c>
      <c r="T11" t="n">
        <v>2</v>
      </c>
      <c r="U11" t="n">
        <v>0</v>
      </c>
      <c r="V11" s="2" t="inlineStr">
        <is>
          <t>Skogsalm
Talltita</t>
        </is>
      </c>
      <c r="W11">
        <f>HYPERLINK("https://klasma.github.io/Logging_1982/artfynd/A 1683-2026 artfynd.xlsx", "A 1683-2026")</f>
        <v/>
      </c>
      <c r="X11">
        <f>HYPERLINK("https://klasma.github.io/Logging_1982/kartor/A 1683-2026 karta.png", "A 1683-2026")</f>
        <v/>
      </c>
      <c r="Y11">
        <f>HYPERLINK("https://klasma.github.io/Logging_1982/kartor_geotiff/A 1683-2026 georefererad karta.tif", "A 1683-2026")</f>
        <v/>
      </c>
      <c r="AA11">
        <f>HYPERLINK("https://klasma.github.io/Logging_1982/klagomål/A 1683-2026 FSC-klagomål.docx", "A 1683-2026")</f>
        <v/>
      </c>
      <c r="AB11">
        <f>HYPERLINK("https://klasma.github.io/Logging_1982/klagomålsmail/A 1683-2026 FSC-klagomål mail.docx", "A 1683-2026")</f>
        <v/>
      </c>
      <c r="AC11">
        <f>HYPERLINK("https://klasma.github.io/Logging_1982/tillsyn/A 1683-2026 tillsynsbegäran.docx", "A 1683-2026")</f>
        <v/>
      </c>
      <c r="AD11">
        <f>HYPERLINK("https://klasma.github.io/Logging_1982/tillsynsmail/A 1683-2026 tillsynsbegäran mail.docx", "A 1683-2026")</f>
        <v/>
      </c>
      <c r="AE11">
        <f>HYPERLINK("https://klasma.github.io/Logging_1982/fåglar/A 1683-2026 prioriterade fågelarter.docx", "A 1683-2026")</f>
        <v/>
      </c>
    </row>
    <row r="12" ht="15" customHeight="1">
      <c r="A12" t="inlineStr">
        <is>
          <t>A 17889-2026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46122</v>
      </c>
      <c r="E12" s="1" t="n">
        <v>46320</v>
      </c>
      <c r="F12" t="inlineStr">
        <is>
          <t>VÄSTMANLANDS LÄN</t>
        </is>
      </c>
      <c r="G12" t="inlineStr">
        <is>
          <t>FAGERSTA</t>
        </is>
      </c>
      <c r="H12" t="inlineStr">
        <is>
          <t>Sveaskog</t>
        </is>
      </c>
      <c r="I12" t="n">
        <v>2.7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2</v>
      </c>
      <c r="T12" t="n">
        <v>2</v>
      </c>
      <c r="U12" t="n">
        <v>0</v>
      </c>
      <c r="V12" s="2" t="inlineStr">
        <is>
          <t>Garnlav
Tallticka</t>
        </is>
      </c>
      <c r="W12">
        <f>HYPERLINK("https://klasma.github.io/Logging_1982/artfynd/A 17889-2026 artfynd.xlsx", "A 17889-2026")</f>
        <v/>
      </c>
      <c r="X12">
        <f>HYPERLINK("https://klasma.github.io/Logging_1982/kartor/A 17889-2026 karta.png", "A 17889-2026")</f>
        <v/>
      </c>
      <c r="Y12">
        <f>HYPERLINK("https://klasma.github.io/Logging_1982/kartor_geotiff/A 17889-2026 georefererad karta.tif", "A 17889-2026")</f>
        <v/>
      </c>
      <c r="AA12">
        <f>HYPERLINK("https://klasma.github.io/Logging_1982/klagomål/A 17889-2026 FSC-klagomål.docx", "A 17889-2026")</f>
        <v/>
      </c>
      <c r="AB12">
        <f>HYPERLINK("https://klasma.github.io/Logging_1982/klagomålsmail/A 17889-2026 FSC-klagomål mail.docx", "A 17889-2026")</f>
        <v/>
      </c>
      <c r="AC12">
        <f>HYPERLINK("https://klasma.github.io/Logging_1982/tillsyn/A 17889-2026 tillsynsbegäran.docx", "A 17889-2026")</f>
        <v/>
      </c>
      <c r="AD12">
        <f>HYPERLINK("https://klasma.github.io/Logging_1982/tillsynsmail/A 17889-2026 tillsynsbegäran mail.docx", "A 17889-2026")</f>
        <v/>
      </c>
    </row>
    <row r="13" ht="15" customHeight="1">
      <c r="A13" t="inlineStr">
        <is>
          <t>A 7385-2023</t>
        </is>
      </c>
      <c r="B13" t="inlineStr">
        <is>
          <t>avverkningsanmälan</t>
        </is>
      </c>
      <c r="C13" t="inlineStr">
        <is>
          <t>Avverkning för annat ändamål</t>
        </is>
      </c>
      <c r="D13" s="1" t="n">
        <v>44971</v>
      </c>
      <c r="E13" s="1" t="n">
        <v>46320</v>
      </c>
      <c r="F13" t="inlineStr">
        <is>
          <t>VÄSTMANLANDS LÄN</t>
        </is>
      </c>
      <c r="G13" t="inlineStr">
        <is>
          <t>FAGERSTA</t>
        </is>
      </c>
      <c r="I13" t="n">
        <v>3.5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2</v>
      </c>
      <c r="U13" t="n">
        <v>0</v>
      </c>
      <c r="V13" s="2" t="inlineStr">
        <is>
          <t>Bolmört
Tibast</t>
        </is>
      </c>
      <c r="W13">
        <f>HYPERLINK("https://klasma.github.io/Logging_1982/artfynd/A 7385-2023 artfynd.xlsx", "A 7385-2023")</f>
        <v/>
      </c>
      <c r="X13">
        <f>HYPERLINK("https://klasma.github.io/Logging_1982/kartor/A 7385-2023 karta.png", "A 7385-2023")</f>
        <v/>
      </c>
      <c r="Y13">
        <f>HYPERLINK("https://klasma.github.io/Logging_1982/kartor_geotiff/A 7385-2023 georefererad karta.tif", "A 7385-2023")</f>
        <v/>
      </c>
      <c r="AA13">
        <f>HYPERLINK("https://klasma.github.io/Logging_1982/klagomål/A 7385-2023 FSC-klagomål.docx", "A 7385-2023")</f>
        <v/>
      </c>
      <c r="AB13">
        <f>HYPERLINK("https://klasma.github.io/Logging_1982/klagomålsmail/A 7385-2023 FSC-klagomål mail.docx", "A 7385-2023")</f>
        <v/>
      </c>
      <c r="AC13">
        <f>HYPERLINK("https://klasma.github.io/Logging_1982/tillsyn/A 7385-2023 tillsynsbegäran.docx", "A 7385-2023")</f>
        <v/>
      </c>
      <c r="AD13">
        <f>HYPERLINK("https://klasma.github.io/Logging_1982/tillsynsmail/A 7385-2023 tillsynsbegäran mail.docx", "A 7385-2023")</f>
        <v/>
      </c>
    </row>
    <row r="14" ht="15" customHeight="1">
      <c r="A14" t="inlineStr">
        <is>
          <t>A 9956-2022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44621</v>
      </c>
      <c r="E14" s="1" t="n">
        <v>46320</v>
      </c>
      <c r="F14" t="inlineStr">
        <is>
          <t>VÄSTMANLANDS LÄN</t>
        </is>
      </c>
      <c r="G14" t="inlineStr">
        <is>
          <t>FAGERSTA</t>
        </is>
      </c>
      <c r="H14" t="inlineStr">
        <is>
          <t>Kommuner</t>
        </is>
      </c>
      <c r="I14" t="n">
        <v>6.4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2</v>
      </c>
      <c r="U14" t="n">
        <v>0</v>
      </c>
      <c r="V14" s="2" t="inlineStr">
        <is>
          <t>Ögonpyrola
Fläcknycklar</t>
        </is>
      </c>
      <c r="W14">
        <f>HYPERLINK("https://klasma.github.io/Logging_1982/artfynd/A 9956-2022 artfynd.xlsx", "A 9956-2022")</f>
        <v/>
      </c>
      <c r="X14">
        <f>HYPERLINK("https://klasma.github.io/Logging_1982/kartor/A 9956-2022 karta.png", "A 9956-2022")</f>
        <v/>
      </c>
      <c r="Y14">
        <f>HYPERLINK("https://klasma.github.io/Logging_1982/kartor_geotiff/A 9956-2022 georefererad karta.tif", "A 9956-2022")</f>
        <v/>
      </c>
      <c r="AA14">
        <f>HYPERLINK("https://klasma.github.io/Logging_1982/klagomål/A 9956-2022 FSC-klagomål.docx", "A 9956-2022")</f>
        <v/>
      </c>
      <c r="AB14">
        <f>HYPERLINK("https://klasma.github.io/Logging_1982/klagomålsmail/A 9956-2022 FSC-klagomål mail.docx", "A 9956-2022")</f>
        <v/>
      </c>
      <c r="AC14">
        <f>HYPERLINK("https://klasma.github.io/Logging_1982/tillsyn/A 9956-2022 tillsynsbegäran.docx", "A 9956-2022")</f>
        <v/>
      </c>
      <c r="AD14">
        <f>HYPERLINK("https://klasma.github.io/Logging_1982/tillsynsmail/A 9956-2022 tillsynsbegäran mail.docx", "A 9956-2022")</f>
        <v/>
      </c>
    </row>
    <row r="15" ht="15" customHeight="1">
      <c r="A15" t="inlineStr">
        <is>
          <t>A 50226-2025</t>
        </is>
      </c>
      <c r="B15" t="inlineStr">
        <is>
          <t>avverkningsanmälan</t>
        </is>
      </c>
      <c r="C15" t="inlineStr">
        <is>
          <t>Avverkning för annat ändamål</t>
        </is>
      </c>
      <c r="D15" s="1" t="n">
        <v>45943</v>
      </c>
      <c r="E15" s="1" t="n">
        <v>46320</v>
      </c>
      <c r="F15" t="inlineStr">
        <is>
          <t>VÄSTMANLANDS LÄN</t>
        </is>
      </c>
      <c r="G15" t="inlineStr">
        <is>
          <t>FAGERSTA</t>
        </is>
      </c>
      <c r="H15" t="inlineStr">
        <is>
          <t>Kommuner</t>
        </is>
      </c>
      <c r="I15" t="n">
        <v>0.1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Ärtsångare</t>
        </is>
      </c>
      <c r="W15">
        <f>HYPERLINK("https://klasma.github.io/Logging_1982/artfynd/A 50226-2025 artfynd.xlsx", "A 50226-2025")</f>
        <v/>
      </c>
      <c r="X15">
        <f>HYPERLINK("https://klasma.github.io/Logging_1982/kartor/A 50226-2025 karta.png", "A 50226-2025")</f>
        <v/>
      </c>
      <c r="Y15">
        <f>HYPERLINK("https://klasma.github.io/Logging_1982/kartor_geotiff/A 50226-2025 georefererad karta.tif", "A 50226-2025")</f>
        <v/>
      </c>
      <c r="AA15">
        <f>HYPERLINK("https://klasma.github.io/Logging_1982/klagomål/A 50226-2025 FSC-klagomål.docx", "A 50226-2025")</f>
        <v/>
      </c>
      <c r="AB15">
        <f>HYPERLINK("https://klasma.github.io/Logging_1982/klagomålsmail/A 50226-2025 FSC-klagomål mail.docx", "A 50226-2025")</f>
        <v/>
      </c>
      <c r="AC15">
        <f>HYPERLINK("https://klasma.github.io/Logging_1982/tillsyn/A 50226-2025 tillsynsbegäran.docx", "A 50226-2025")</f>
        <v/>
      </c>
      <c r="AD15">
        <f>HYPERLINK("https://klasma.github.io/Logging_1982/tillsynsmail/A 50226-2025 tillsynsbegäran mail.docx", "A 50226-2025")</f>
        <v/>
      </c>
    </row>
    <row r="16" ht="15" customHeight="1">
      <c r="A16" t="inlineStr">
        <is>
          <t>A 3553-2026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46042</v>
      </c>
      <c r="E16" s="1" t="n">
        <v>46320</v>
      </c>
      <c r="F16" t="inlineStr">
        <is>
          <t>VÄSTMANLANDS LÄN</t>
        </is>
      </c>
      <c r="G16" t="inlineStr">
        <is>
          <t>FAGERSTA</t>
        </is>
      </c>
      <c r="I16" t="n">
        <v>2.5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Rödlånke</t>
        </is>
      </c>
      <c r="W16">
        <f>HYPERLINK("https://klasma.github.io/Logging_1982/artfynd/A 3553-2026 artfynd.xlsx", "A 3553-2026")</f>
        <v/>
      </c>
      <c r="X16">
        <f>HYPERLINK("https://klasma.github.io/Logging_1982/kartor/A 3553-2026 karta.png", "A 3553-2026")</f>
        <v/>
      </c>
      <c r="Y16">
        <f>HYPERLINK("https://klasma.github.io/Logging_1982/kartor_geotiff/A 3553-2026 georefererad karta.tif", "A 3553-2026")</f>
        <v/>
      </c>
      <c r="AA16">
        <f>HYPERLINK("https://klasma.github.io/Logging_1982/klagomål/A 3553-2026 FSC-klagomål.docx", "A 3553-2026")</f>
        <v/>
      </c>
      <c r="AB16">
        <f>HYPERLINK("https://klasma.github.io/Logging_1982/klagomålsmail/A 3553-2026 FSC-klagomål mail.docx", "A 3553-2026")</f>
        <v/>
      </c>
      <c r="AC16">
        <f>HYPERLINK("https://klasma.github.io/Logging_1982/tillsyn/A 3553-2026 tillsynsbegäran.docx", "A 3553-2026")</f>
        <v/>
      </c>
      <c r="AD16">
        <f>HYPERLINK("https://klasma.github.io/Logging_1982/tillsynsmail/A 3553-2026 tillsynsbegäran mail.docx", "A 3553-2026")</f>
        <v/>
      </c>
    </row>
    <row r="17" ht="15" customHeight="1">
      <c r="A17" t="inlineStr">
        <is>
          <t>A 15334-2023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45019</v>
      </c>
      <c r="E17" s="1" t="n">
        <v>46320</v>
      </c>
      <c r="F17" t="inlineStr">
        <is>
          <t>VÄSTMANLANDS LÄN</t>
        </is>
      </c>
      <c r="G17" t="inlineStr">
        <is>
          <t>FAGERSTA</t>
        </is>
      </c>
      <c r="H17" t="inlineStr">
        <is>
          <t>Övriga Aktiebolag</t>
        </is>
      </c>
      <c r="I17" t="n">
        <v>27.3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Grovticka</t>
        </is>
      </c>
      <c r="W17">
        <f>HYPERLINK("https://klasma.github.io/Logging_1982/artfynd/A 15334-2023 artfynd.xlsx", "A 15334-2023")</f>
        <v/>
      </c>
      <c r="X17">
        <f>HYPERLINK("https://klasma.github.io/Logging_1982/kartor/A 15334-2023 karta.png", "A 15334-2023")</f>
        <v/>
      </c>
      <c r="Y17">
        <f>HYPERLINK("https://klasma.github.io/Logging_1982/kartor_geotiff/A 15334-2023 georefererad karta.tif", "A 15334-2023")</f>
        <v/>
      </c>
      <c r="AA17">
        <f>HYPERLINK("https://klasma.github.io/Logging_1982/klagomål/A 15334-2023 FSC-klagomål.docx", "A 15334-2023")</f>
        <v/>
      </c>
      <c r="AB17">
        <f>HYPERLINK("https://klasma.github.io/Logging_1982/klagomålsmail/A 15334-2023 FSC-klagomål mail.docx", "A 15334-2023")</f>
        <v/>
      </c>
      <c r="AC17">
        <f>HYPERLINK("https://klasma.github.io/Logging_1982/tillsyn/A 15334-2023 tillsynsbegäran.docx", "A 15334-2023")</f>
        <v/>
      </c>
      <c r="AD17">
        <f>HYPERLINK("https://klasma.github.io/Logging_1982/tillsynsmail/A 15334-2023 tillsynsbegäran mail.docx", "A 15334-2023")</f>
        <v/>
      </c>
    </row>
    <row r="18" ht="15" customHeight="1">
      <c r="A18" t="inlineStr">
        <is>
          <t>A 58307-2024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45632</v>
      </c>
      <c r="E18" s="1" t="n">
        <v>46320</v>
      </c>
      <c r="F18" t="inlineStr">
        <is>
          <t>VÄSTMANLANDS LÄN</t>
        </is>
      </c>
      <c r="G18" t="inlineStr">
        <is>
          <t>FAGERSTA</t>
        </is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Mindre märgborre</t>
        </is>
      </c>
      <c r="W18">
        <f>HYPERLINK("https://klasma.github.io/Logging_1982/artfynd/A 58307-2024 artfynd.xlsx", "A 58307-2024")</f>
        <v/>
      </c>
      <c r="X18">
        <f>HYPERLINK("https://klasma.github.io/Logging_1982/kartor/A 58307-2024 karta.png", "A 58307-2024")</f>
        <v/>
      </c>
      <c r="Y18">
        <f>HYPERLINK("https://klasma.github.io/Logging_1982/kartor_geotiff/A 58307-2024 georefererad karta.tif", "A 58307-2024")</f>
        <v/>
      </c>
      <c r="AA18">
        <f>HYPERLINK("https://klasma.github.io/Logging_1982/klagomål/A 58307-2024 FSC-klagomål.docx", "A 58307-2024")</f>
        <v/>
      </c>
      <c r="AB18">
        <f>HYPERLINK("https://klasma.github.io/Logging_1982/klagomålsmail/A 58307-2024 FSC-klagomål mail.docx", "A 58307-2024")</f>
        <v/>
      </c>
      <c r="AC18">
        <f>HYPERLINK("https://klasma.github.io/Logging_1982/tillsyn/A 58307-2024 tillsynsbegäran.docx", "A 58307-2024")</f>
        <v/>
      </c>
      <c r="AD18">
        <f>HYPERLINK("https://klasma.github.io/Logging_1982/tillsynsmail/A 58307-2024 tillsynsbegäran mail.docx", "A 58307-2024")</f>
        <v/>
      </c>
    </row>
    <row r="19" ht="15" customHeight="1">
      <c r="A19" t="inlineStr">
        <is>
          <t>A 19550-2025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45770</v>
      </c>
      <c r="E19" s="1" t="n">
        <v>46320</v>
      </c>
      <c r="F19" t="inlineStr">
        <is>
          <t>VÄSTMANLANDS LÄN</t>
        </is>
      </c>
      <c r="G19" t="inlineStr">
        <is>
          <t>FAGERSTA</t>
        </is>
      </c>
      <c r="I19" t="n">
        <v>16.4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Fläcknycklar</t>
        </is>
      </c>
      <c r="W19">
        <f>HYPERLINK("https://klasma.github.io/Logging_1982/artfynd/A 19550-2025 artfynd.xlsx", "A 19550-2025")</f>
        <v/>
      </c>
      <c r="X19">
        <f>HYPERLINK("https://klasma.github.io/Logging_1982/kartor/A 19550-2025 karta.png", "A 19550-2025")</f>
        <v/>
      </c>
      <c r="Y19">
        <f>HYPERLINK("https://klasma.github.io/Logging_1982/kartor_geotiff/A 19550-2025 georefererad karta.tif", "A 19550-2025")</f>
        <v/>
      </c>
      <c r="AA19">
        <f>HYPERLINK("https://klasma.github.io/Logging_1982/klagomål/A 19550-2025 FSC-klagomål.docx", "A 19550-2025")</f>
        <v/>
      </c>
      <c r="AB19">
        <f>HYPERLINK("https://klasma.github.io/Logging_1982/klagomålsmail/A 19550-2025 FSC-klagomål mail.docx", "A 19550-2025")</f>
        <v/>
      </c>
      <c r="AC19">
        <f>HYPERLINK("https://klasma.github.io/Logging_1982/tillsyn/A 19550-2025 tillsynsbegäran.docx", "A 19550-2025")</f>
        <v/>
      </c>
      <c r="AD19">
        <f>HYPERLINK("https://klasma.github.io/Logging_1982/tillsynsmail/A 19550-2025 tillsynsbegäran mail.docx", "A 19550-2025")</f>
        <v/>
      </c>
    </row>
    <row r="20" ht="15" customHeight="1">
      <c r="A20" t="inlineStr">
        <is>
          <t>A 74421-2021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44533</v>
      </c>
      <c r="E20" s="1" t="n">
        <v>46320</v>
      </c>
      <c r="F20" t="inlineStr">
        <is>
          <t>VÄSTMANLANDS LÄN</t>
        </is>
      </c>
      <c r="G20" t="inlineStr">
        <is>
          <t>FAGERSTA</t>
        </is>
      </c>
      <c r="I20" t="n">
        <v>3.8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70012-2021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44533</v>
      </c>
      <c r="E21" s="1" t="n">
        <v>46320</v>
      </c>
      <c r="F21" t="inlineStr">
        <is>
          <t>VÄSTMANLANDS LÄN</t>
        </is>
      </c>
      <c r="G21" t="inlineStr">
        <is>
          <t>FAGERSTA</t>
        </is>
      </c>
      <c r="I21" t="n">
        <v>0.7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3682-2022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44586</v>
      </c>
      <c r="E22" s="1" t="n">
        <v>46320</v>
      </c>
      <c r="F22" t="inlineStr">
        <is>
          <t>VÄSTMANLANDS LÄN</t>
        </is>
      </c>
      <c r="G22" t="inlineStr">
        <is>
          <t>FAGERSTA</t>
        </is>
      </c>
      <c r="I22" t="n">
        <v>1.1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74356-2021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44559</v>
      </c>
      <c r="E23" s="1" t="n">
        <v>46320</v>
      </c>
      <c r="F23" t="inlineStr">
        <is>
          <t>VÄSTMANLANDS LÄN</t>
        </is>
      </c>
      <c r="G23" t="inlineStr">
        <is>
          <t>FAGERSTA</t>
        </is>
      </c>
      <c r="I23" t="n">
        <v>7.9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74423-2021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44564</v>
      </c>
      <c r="E24" s="1" t="n">
        <v>46320</v>
      </c>
      <c r="F24" t="inlineStr">
        <is>
          <t>VÄSTMANLANDS LÄN</t>
        </is>
      </c>
      <c r="G24" t="inlineStr">
        <is>
          <t>FAGERSTA</t>
        </is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31831-2022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44776</v>
      </c>
      <c r="E25" s="1" t="n">
        <v>46320</v>
      </c>
      <c r="F25" t="inlineStr">
        <is>
          <t>VÄSTMANLANDS LÄN</t>
        </is>
      </c>
      <c r="G25" t="inlineStr">
        <is>
          <t>FAGERSTA</t>
        </is>
      </c>
      <c r="I25" t="n">
        <v>2.4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30868-2022</t>
        </is>
      </c>
      <c r="B26" t="inlineStr">
        <is>
          <t>avverkningsanmälan</t>
        </is>
      </c>
      <c r="C26" t="inlineStr">
        <is>
          <t>Avverkning för annat ändamål</t>
        </is>
      </c>
      <c r="D26" s="1" t="n">
        <v>44767</v>
      </c>
      <c r="E26" s="1" t="n">
        <v>46320</v>
      </c>
      <c r="F26" t="inlineStr">
        <is>
          <t>VÄSTMANLANDS LÄN</t>
        </is>
      </c>
      <c r="G26" t="inlineStr">
        <is>
          <t>FAGERSTA</t>
        </is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74425-2021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44564</v>
      </c>
      <c r="E27" s="1" t="n">
        <v>46320</v>
      </c>
      <c r="F27" t="inlineStr">
        <is>
          <t>VÄSTMANLANDS LÄN</t>
        </is>
      </c>
      <c r="G27" t="inlineStr">
        <is>
          <t>FAGERSTA</t>
        </is>
      </c>
      <c r="I27" t="n">
        <v>1.8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29510-2022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44753</v>
      </c>
      <c r="E28" s="1" t="n">
        <v>46320</v>
      </c>
      <c r="F28" t="inlineStr">
        <is>
          <t>VÄSTMANLANDS LÄN</t>
        </is>
      </c>
      <c r="G28" t="inlineStr">
        <is>
          <t>FAGERSTA</t>
        </is>
      </c>
      <c r="H28" t="inlineStr">
        <is>
          <t>Sveaskog</t>
        </is>
      </c>
      <c r="I28" t="n">
        <v>1.3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29513-2022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44753</v>
      </c>
      <c r="E29" s="1" t="n">
        <v>46320</v>
      </c>
      <c r="F29" t="inlineStr">
        <is>
          <t>VÄSTMANLANDS LÄN</t>
        </is>
      </c>
      <c r="G29" t="inlineStr">
        <is>
          <t>FAGERSTA</t>
        </is>
      </c>
      <c r="H29" t="inlineStr">
        <is>
          <t>Sveaskog</t>
        </is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44710-2022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44840</v>
      </c>
      <c r="E30" s="1" t="n">
        <v>46320</v>
      </c>
      <c r="F30" t="inlineStr">
        <is>
          <t>VÄSTMANLANDS LÄN</t>
        </is>
      </c>
      <c r="G30" t="inlineStr">
        <is>
          <t>FAGERSTA</t>
        </is>
      </c>
      <c r="I30" t="n">
        <v>3.8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51936-2022</t>
        </is>
      </c>
      <c r="B31" t="inlineStr">
        <is>
          <t>avverkningsanmälan</t>
        </is>
      </c>
      <c r="C31" t="inlineStr">
        <is>
          <t>Avverkning för annat ändamål</t>
        </is>
      </c>
      <c r="D31" s="1" t="n">
        <v>44872</v>
      </c>
      <c r="E31" s="1" t="n">
        <v>46320</v>
      </c>
      <c r="F31" t="inlineStr">
        <is>
          <t>VÄSTMANLANDS LÄN</t>
        </is>
      </c>
      <c r="G31" t="inlineStr">
        <is>
          <t>FAGERSTA</t>
        </is>
      </c>
      <c r="I31" t="n">
        <v>0.8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69104-2021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44530</v>
      </c>
      <c r="E32" s="1" t="n">
        <v>46320</v>
      </c>
      <c r="F32" t="inlineStr">
        <is>
          <t>VÄSTMANLANDS LÄN</t>
        </is>
      </c>
      <c r="G32" t="inlineStr">
        <is>
          <t>FAGERSTA</t>
        </is>
      </c>
      <c r="H32" t="inlineStr">
        <is>
          <t>Kommuner</t>
        </is>
      </c>
      <c r="I32" t="n">
        <v>3.2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68174-2021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44526</v>
      </c>
      <c r="E33" s="1" t="n">
        <v>46320</v>
      </c>
      <c r="F33" t="inlineStr">
        <is>
          <t>VÄSTMANLANDS LÄN</t>
        </is>
      </c>
      <c r="G33" t="inlineStr">
        <is>
          <t>FAGERSTA</t>
        </is>
      </c>
      <c r="H33" t="inlineStr">
        <is>
          <t>Kyrkan</t>
        </is>
      </c>
      <c r="I33" t="n">
        <v>0.9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25053-2022</t>
        </is>
      </c>
      <c r="B34" t="inlineStr">
        <is>
          <t>avverkningsanmälan</t>
        </is>
      </c>
      <c r="C34" t="inlineStr">
        <is>
          <t>Avverkning för annat ändamål</t>
        </is>
      </c>
      <c r="D34" s="1" t="n">
        <v>44729</v>
      </c>
      <c r="E34" s="1" t="n">
        <v>46320</v>
      </c>
      <c r="F34" t="inlineStr">
        <is>
          <t>VÄSTMANLANDS LÄN</t>
        </is>
      </c>
      <c r="G34" t="inlineStr">
        <is>
          <t>FAGERSTA</t>
        </is>
      </c>
      <c r="I34" t="n">
        <v>2.1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25057-2022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44729</v>
      </c>
      <c r="E35" s="1" t="n">
        <v>46320</v>
      </c>
      <c r="F35" t="inlineStr">
        <is>
          <t>VÄSTMANLANDS LÄN</t>
        </is>
      </c>
      <c r="G35" t="inlineStr">
        <is>
          <t>FAGERSTA</t>
        </is>
      </c>
      <c r="I35" t="n">
        <v>3.1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30630-2023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45112</v>
      </c>
      <c r="E36" s="1" t="n">
        <v>46320</v>
      </c>
      <c r="F36" t="inlineStr">
        <is>
          <t>VÄSTMANLANDS LÄN</t>
        </is>
      </c>
      <c r="G36" t="inlineStr">
        <is>
          <t>FAGERSTA</t>
        </is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23646-2026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46164</v>
      </c>
      <c r="E37" s="1" t="n">
        <v>46320</v>
      </c>
      <c r="F37" t="inlineStr">
        <is>
          <t>VÄSTMANLANDS LÄN</t>
        </is>
      </c>
      <c r="G37" t="inlineStr">
        <is>
          <t>FAGERSTA</t>
        </is>
      </c>
      <c r="I37" t="n">
        <v>6.8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46359-2025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45925</v>
      </c>
      <c r="E38" s="1" t="n">
        <v>46320</v>
      </c>
      <c r="F38" t="inlineStr">
        <is>
          <t>VÄSTMANLANDS LÄN</t>
        </is>
      </c>
      <c r="G38" t="inlineStr">
        <is>
          <t>FAGERSTA</t>
        </is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26057-2026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46181</v>
      </c>
      <c r="E39" s="1" t="n">
        <v>46320</v>
      </c>
      <c r="F39" t="inlineStr">
        <is>
          <t>VÄSTMANLANDS LÄN</t>
        </is>
      </c>
      <c r="G39" t="inlineStr">
        <is>
          <t>FAGERSTA</t>
        </is>
      </c>
      <c r="H39" t="inlineStr">
        <is>
          <t>Sveaskog</t>
        </is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56699-2024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45627</v>
      </c>
      <c r="E40" s="1" t="n">
        <v>46320</v>
      </c>
      <c r="F40" t="inlineStr">
        <is>
          <t>VÄSTMANLANDS LÄN</t>
        </is>
      </c>
      <c r="G40" t="inlineStr">
        <is>
          <t>FAGERSTA</t>
        </is>
      </c>
      <c r="I40" t="n">
        <v>4.6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20909-2024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45439</v>
      </c>
      <c r="E41" s="1" t="n">
        <v>46320</v>
      </c>
      <c r="F41" t="inlineStr">
        <is>
          <t>VÄSTMANLANDS LÄN</t>
        </is>
      </c>
      <c r="G41" t="inlineStr">
        <is>
          <t>FAGERSTA</t>
        </is>
      </c>
      <c r="I41" t="n">
        <v>6.9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51586-2023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45222</v>
      </c>
      <c r="E42" s="1" t="n">
        <v>46320</v>
      </c>
      <c r="F42" t="inlineStr">
        <is>
          <t>VÄSTMANLANDS LÄN</t>
        </is>
      </c>
      <c r="G42" t="inlineStr">
        <is>
          <t>FAGERSTA</t>
        </is>
      </c>
      <c r="I42" t="n">
        <v>1.1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32004-2025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45835</v>
      </c>
      <c r="E43" s="1" t="n">
        <v>46320</v>
      </c>
      <c r="F43" t="inlineStr">
        <is>
          <t>VÄSTMANLANDS LÄN</t>
        </is>
      </c>
      <c r="G43" t="inlineStr">
        <is>
          <t>FAGERSTA</t>
        </is>
      </c>
      <c r="H43" t="inlineStr">
        <is>
          <t>Sveaskog</t>
        </is>
      </c>
      <c r="I43" t="n">
        <v>5.5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55794-2025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45972</v>
      </c>
      <c r="E44" s="1" t="n">
        <v>46320</v>
      </c>
      <c r="F44" t="inlineStr">
        <is>
          <t>VÄSTMANLANDS LÄN</t>
        </is>
      </c>
      <c r="G44" t="inlineStr">
        <is>
          <t>FAGERSTA</t>
        </is>
      </c>
      <c r="I44" t="n">
        <v>5.4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18463-2025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45762</v>
      </c>
      <c r="E45" s="1" t="n">
        <v>46320</v>
      </c>
      <c r="F45" t="inlineStr">
        <is>
          <t>VÄSTMANLANDS LÄN</t>
        </is>
      </c>
      <c r="G45" t="inlineStr">
        <is>
          <t>FAGERSTA</t>
        </is>
      </c>
      <c r="H45" t="inlineStr">
        <is>
          <t>Sveaskog</t>
        </is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19213-2025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45769</v>
      </c>
      <c r="E46" s="1" t="n">
        <v>46320</v>
      </c>
      <c r="F46" t="inlineStr">
        <is>
          <t>VÄSTMANLANDS LÄN</t>
        </is>
      </c>
      <c r="G46" t="inlineStr">
        <is>
          <t>FAGERSTA</t>
        </is>
      </c>
      <c r="H46" t="inlineStr">
        <is>
          <t>Övriga Aktiebolag</t>
        </is>
      </c>
      <c r="I46" t="n">
        <v>14.6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31014-2026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46213</v>
      </c>
      <c r="E47" s="1" t="n">
        <v>46320</v>
      </c>
      <c r="F47" t="inlineStr">
        <is>
          <t>VÄSTMANLANDS LÄN</t>
        </is>
      </c>
      <c r="G47" t="inlineStr">
        <is>
          <t>FAGERSTA</t>
        </is>
      </c>
      <c r="I47" t="n">
        <v>0.9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19153-2025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45769</v>
      </c>
      <c r="E48" s="1" t="n">
        <v>46320</v>
      </c>
      <c r="F48" t="inlineStr">
        <is>
          <t>VÄSTMANLANDS LÄN</t>
        </is>
      </c>
      <c r="G48" t="inlineStr">
        <is>
          <t>FAGERSTA</t>
        </is>
      </c>
      <c r="I48" t="n">
        <v>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31482-2026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46223</v>
      </c>
      <c r="E49" s="1" t="n">
        <v>46320</v>
      </c>
      <c r="F49" t="inlineStr">
        <is>
          <t>VÄSTMANLANDS LÄN</t>
        </is>
      </c>
      <c r="G49" t="inlineStr">
        <is>
          <t>FAGERSTA</t>
        </is>
      </c>
      <c r="H49" t="inlineStr">
        <is>
          <t>Övriga Aktiebolag</t>
        </is>
      </c>
      <c r="I49" t="n">
        <v>4.4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58310-2024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45632</v>
      </c>
      <c r="E50" s="1" t="n">
        <v>46320</v>
      </c>
      <c r="F50" t="inlineStr">
        <is>
          <t>VÄSTMANLANDS LÄN</t>
        </is>
      </c>
      <c r="G50" t="inlineStr">
        <is>
          <t>FAGERSTA</t>
        </is>
      </c>
      <c r="I50" t="n">
        <v>1.5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30813-2022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44764</v>
      </c>
      <c r="E51" s="1" t="n">
        <v>46320</v>
      </c>
      <c r="F51" t="inlineStr">
        <is>
          <t>VÄSTMANLANDS LÄN</t>
        </is>
      </c>
      <c r="G51" t="inlineStr">
        <is>
          <t>FAGERSTA</t>
        </is>
      </c>
      <c r="I51" t="n">
        <v>4.5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57855-2023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45247</v>
      </c>
      <c r="E52" s="1" t="n">
        <v>46320</v>
      </c>
      <c r="F52" t="inlineStr">
        <is>
          <t>VÄSTMANLANDS LÄN</t>
        </is>
      </c>
      <c r="G52" t="inlineStr">
        <is>
          <t>FAGERSTA</t>
        </is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63305-2025</t>
        </is>
      </c>
      <c r="B53" t="inlineStr">
        <is>
          <t>avverkningsanmälan</t>
        </is>
      </c>
      <c r="C53" t="inlineStr">
        <is>
          <t>Avverkning för att bevara och utveckla /försöksver</t>
        </is>
      </c>
      <c r="D53" s="1" t="n">
        <v>46010</v>
      </c>
      <c r="E53" s="1" t="n">
        <v>46320</v>
      </c>
      <c r="F53" t="inlineStr">
        <is>
          <t>VÄSTMANLANDS LÄN</t>
        </is>
      </c>
      <c r="G53" t="inlineStr">
        <is>
          <t>FAGERSTA</t>
        </is>
      </c>
      <c r="H53" t="inlineStr">
        <is>
          <t>Sveaskog</t>
        </is>
      </c>
      <c r="I53" t="n">
        <v>3.3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12121-2023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44998</v>
      </c>
      <c r="E54" s="1" t="n">
        <v>46320</v>
      </c>
      <c r="F54" t="inlineStr">
        <is>
          <t>VÄSTMANLANDS LÄN</t>
        </is>
      </c>
      <c r="G54" t="inlineStr">
        <is>
          <t>FAGERSTA</t>
        </is>
      </c>
      <c r="H54" t="inlineStr">
        <is>
          <t>Övriga Aktiebolag</t>
        </is>
      </c>
      <c r="I54" t="n">
        <v>6.9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22118-2025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45785</v>
      </c>
      <c r="E55" s="1" t="n">
        <v>46320</v>
      </c>
      <c r="F55" t="inlineStr">
        <is>
          <t>VÄSTMANLANDS LÄN</t>
        </is>
      </c>
      <c r="G55" t="inlineStr">
        <is>
          <t>FAGERSTA</t>
        </is>
      </c>
      <c r="H55" t="inlineStr">
        <is>
          <t>Sveaskog</t>
        </is>
      </c>
      <c r="I55" t="n">
        <v>18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22117-2025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45785</v>
      </c>
      <c r="E56" s="1" t="n">
        <v>46320</v>
      </c>
      <c r="F56" t="inlineStr">
        <is>
          <t>VÄSTMANLANDS LÄN</t>
        </is>
      </c>
      <c r="G56" t="inlineStr">
        <is>
          <t>FAGERSTA</t>
        </is>
      </c>
      <c r="H56" t="inlineStr">
        <is>
          <t>Sveaskog</t>
        </is>
      </c>
      <c r="I56" t="n">
        <v>6.7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22590-2025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45789</v>
      </c>
      <c r="E57" s="1" t="n">
        <v>46320</v>
      </c>
      <c r="F57" t="inlineStr">
        <is>
          <t>VÄSTMANLANDS LÄN</t>
        </is>
      </c>
      <c r="G57" t="inlineStr">
        <is>
          <t>FAGERSTA</t>
        </is>
      </c>
      <c r="I57" t="n">
        <v>2.7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56704-2024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45627</v>
      </c>
      <c r="E58" s="1" t="n">
        <v>46320</v>
      </c>
      <c r="F58" t="inlineStr">
        <is>
          <t>VÄSTMANLANDS LÄN</t>
        </is>
      </c>
      <c r="G58" t="inlineStr">
        <is>
          <t>FAGERSTA</t>
        </is>
      </c>
      <c r="I58" t="n">
        <v>2.7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32433-2026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46239</v>
      </c>
      <c r="E59" s="1" t="n">
        <v>46320</v>
      </c>
      <c r="F59" t="inlineStr">
        <is>
          <t>VÄSTMANLANDS LÄN</t>
        </is>
      </c>
      <c r="G59" t="inlineStr">
        <is>
          <t>FAGERSTA</t>
        </is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38973-2026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46286</v>
      </c>
      <c r="E60" s="1" t="n">
        <v>46320</v>
      </c>
      <c r="F60" t="inlineStr">
        <is>
          <t>VÄSTMANLANDS LÄN</t>
        </is>
      </c>
      <c r="G60" t="inlineStr">
        <is>
          <t>FAGERSTA</t>
        </is>
      </c>
      <c r="I60" t="n">
        <v>1.7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58594-2024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45635</v>
      </c>
      <c r="E61" s="1" t="n">
        <v>46320</v>
      </c>
      <c r="F61" t="inlineStr">
        <is>
          <t>VÄSTMANLANDS LÄN</t>
        </is>
      </c>
      <c r="G61" t="inlineStr">
        <is>
          <t>FAGERSTA</t>
        </is>
      </c>
      <c r="I61" t="n">
        <v>2.1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39157-2024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45548</v>
      </c>
      <c r="E62" s="1" t="n">
        <v>46320</v>
      </c>
      <c r="F62" t="inlineStr">
        <is>
          <t>VÄSTMANLANDS LÄN</t>
        </is>
      </c>
      <c r="G62" t="inlineStr">
        <is>
          <t>FAGERSTA</t>
        </is>
      </c>
      <c r="I62" t="n">
        <v>1.6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39234-2026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46287</v>
      </c>
      <c r="E63" s="1" t="n">
        <v>46320</v>
      </c>
      <c r="F63" t="inlineStr">
        <is>
          <t>VÄSTMANLANDS LÄN</t>
        </is>
      </c>
      <c r="G63" t="inlineStr">
        <is>
          <t>FAGERSTA</t>
        </is>
      </c>
      <c r="I63" t="n">
        <v>4.1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26652-2025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45810</v>
      </c>
      <c r="E64" s="1" t="n">
        <v>46320</v>
      </c>
      <c r="F64" t="inlineStr">
        <is>
          <t>VÄSTMANLANDS LÄN</t>
        </is>
      </c>
      <c r="G64" t="inlineStr">
        <is>
          <t>FAGERSTA</t>
        </is>
      </c>
      <c r="H64" t="inlineStr">
        <is>
          <t>Bergvik skog väst AB</t>
        </is>
      </c>
      <c r="I64" t="n">
        <v>22.6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33191-2026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46246</v>
      </c>
      <c r="E65" s="1" t="n">
        <v>46320</v>
      </c>
      <c r="F65" t="inlineStr">
        <is>
          <t>VÄSTMANLANDS LÄN</t>
        </is>
      </c>
      <c r="G65" t="inlineStr">
        <is>
          <t>FAGERSTA</t>
        </is>
      </c>
      <c r="H65" t="inlineStr">
        <is>
          <t>Sveaskog</t>
        </is>
      </c>
      <c r="I65" t="n">
        <v>4.6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33322-2026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46246</v>
      </c>
      <c r="E66" s="1" t="n">
        <v>46320</v>
      </c>
      <c r="F66" t="inlineStr">
        <is>
          <t>VÄSTMANLANDS LÄN</t>
        </is>
      </c>
      <c r="G66" t="inlineStr">
        <is>
          <t>FAGERSTA</t>
        </is>
      </c>
      <c r="I66" t="n">
        <v>0.7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39897-2026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46289</v>
      </c>
      <c r="E67" s="1" t="n">
        <v>46320</v>
      </c>
      <c r="F67" t="inlineStr">
        <is>
          <t>VÄSTMANLANDS LÄN</t>
        </is>
      </c>
      <c r="G67" t="inlineStr">
        <is>
          <t>FAGERSTA</t>
        </is>
      </c>
      <c r="I67" t="n">
        <v>4.2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28249-2022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44746</v>
      </c>
      <c r="E68" s="1" t="n">
        <v>46320</v>
      </c>
      <c r="F68" t="inlineStr">
        <is>
          <t>VÄSTMANLANDS LÄN</t>
        </is>
      </c>
      <c r="G68" t="inlineStr">
        <is>
          <t>FAGERSTA</t>
        </is>
      </c>
      <c r="H68" t="inlineStr">
        <is>
          <t>Kommuner</t>
        </is>
      </c>
      <c r="I68" t="n">
        <v>2.9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11660-2023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44994</v>
      </c>
      <c r="E69" s="1" t="n">
        <v>46320</v>
      </c>
      <c r="F69" t="inlineStr">
        <is>
          <t>VÄSTMANLANDS LÄN</t>
        </is>
      </c>
      <c r="G69" t="inlineStr">
        <is>
          <t>FAGERSTA</t>
        </is>
      </c>
      <c r="H69" t="inlineStr">
        <is>
          <t>Kommuner</t>
        </is>
      </c>
      <c r="I69" t="n">
        <v>2.6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32249-2022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44781</v>
      </c>
      <c r="E70" s="1" t="n">
        <v>46320</v>
      </c>
      <c r="F70" t="inlineStr">
        <is>
          <t>VÄSTMANLANDS LÄN</t>
        </is>
      </c>
      <c r="G70" t="inlineStr">
        <is>
          <t>FAGERSTA</t>
        </is>
      </c>
      <c r="H70" t="inlineStr">
        <is>
          <t>Kommuner</t>
        </is>
      </c>
      <c r="I70" t="n">
        <v>22.9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60374-2025</t>
        </is>
      </c>
      <c r="B71" t="inlineStr">
        <is>
          <t>avverkningsanmälan</t>
        </is>
      </c>
      <c r="C71" t="inlineStr">
        <is>
          <t>Avverkning för att bevara och utveckla /försöksver</t>
        </is>
      </c>
      <c r="D71" s="1" t="n">
        <v>45995</v>
      </c>
      <c r="E71" s="1" t="n">
        <v>46320</v>
      </c>
      <c r="F71" t="inlineStr">
        <is>
          <t>VÄSTMANLANDS LÄN</t>
        </is>
      </c>
      <c r="G71" t="inlineStr">
        <is>
          <t>FAGERSTA</t>
        </is>
      </c>
      <c r="H71" t="inlineStr">
        <is>
          <t>Kommuner</t>
        </is>
      </c>
      <c r="I71" t="n">
        <v>2.9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10526-2026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46077</v>
      </c>
      <c r="E72" s="1" t="n">
        <v>46320</v>
      </c>
      <c r="F72" t="inlineStr">
        <is>
          <t>VÄSTMANLANDS LÄN</t>
        </is>
      </c>
      <c r="G72" t="inlineStr">
        <is>
          <t>FAGERSTA</t>
        </is>
      </c>
      <c r="H72" t="inlineStr">
        <is>
          <t>Bergvik skog väst AB</t>
        </is>
      </c>
      <c r="I72" t="n">
        <v>6.2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10520-2026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46077</v>
      </c>
      <c r="E73" s="1" t="n">
        <v>46320</v>
      </c>
      <c r="F73" t="inlineStr">
        <is>
          <t>VÄSTMANLANDS LÄN</t>
        </is>
      </c>
      <c r="G73" t="inlineStr">
        <is>
          <t>FAGERSTA</t>
        </is>
      </c>
      <c r="H73" t="inlineStr">
        <is>
          <t>Bergvik skog väst AB</t>
        </is>
      </c>
      <c r="I73" t="n">
        <v>19.5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10686-2026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46078</v>
      </c>
      <c r="E74" s="1" t="n">
        <v>46320</v>
      </c>
      <c r="F74" t="inlineStr">
        <is>
          <t>VÄSTMANLANDS LÄN</t>
        </is>
      </c>
      <c r="G74" t="inlineStr">
        <is>
          <t>FAGERSTA</t>
        </is>
      </c>
      <c r="H74" t="inlineStr">
        <is>
          <t>Bergvik skog väst AB</t>
        </is>
      </c>
      <c r="I74" t="n">
        <v>18.6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33238-2025</t>
        </is>
      </c>
      <c r="B75" t="inlineStr">
        <is>
          <t>avverkningsanmälan</t>
        </is>
      </c>
      <c r="C75" t="inlineStr">
        <is>
          <t>Avverkning för att bevara och utveckla /försöksver</t>
        </is>
      </c>
      <c r="D75" s="1" t="n">
        <v>45840</v>
      </c>
      <c r="E75" s="1" t="n">
        <v>46320</v>
      </c>
      <c r="F75" t="inlineStr">
        <is>
          <t>VÄSTMANLANDS LÄN</t>
        </is>
      </c>
      <c r="G75" t="inlineStr">
        <is>
          <t>FAGERSTA</t>
        </is>
      </c>
      <c r="H75" t="inlineStr">
        <is>
          <t>Sveaskog</t>
        </is>
      </c>
      <c r="I75" t="n">
        <v>1.7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33232-2025</t>
        </is>
      </c>
      <c r="B76" t="inlineStr">
        <is>
          <t>avverkningsanmälan</t>
        </is>
      </c>
      <c r="C76" t="inlineStr">
        <is>
          <t>Avverkning för att bevara och utveckla /försöksver</t>
        </is>
      </c>
      <c r="D76" s="1" t="n">
        <v>45840</v>
      </c>
      <c r="E76" s="1" t="n">
        <v>46320</v>
      </c>
      <c r="F76" t="inlineStr">
        <is>
          <t>VÄSTMANLANDS LÄN</t>
        </is>
      </c>
      <c r="G76" t="inlineStr">
        <is>
          <t>FAGERSTA</t>
        </is>
      </c>
      <c r="H76" t="inlineStr">
        <is>
          <t>Sveaskog</t>
        </is>
      </c>
      <c r="I76" t="n">
        <v>4.2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13079-2026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46093</v>
      </c>
      <c r="E77" s="1" t="n">
        <v>46320</v>
      </c>
      <c r="F77" t="inlineStr">
        <is>
          <t>VÄSTMANLANDS LÄN</t>
        </is>
      </c>
      <c r="G77" t="inlineStr">
        <is>
          <t>FAGERSTA</t>
        </is>
      </c>
      <c r="I77" t="n">
        <v>1.1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33236-2025</t>
        </is>
      </c>
      <c r="B78" t="inlineStr">
        <is>
          <t>avverkningsanmälan</t>
        </is>
      </c>
      <c r="C78" t="inlineStr">
        <is>
          <t>Avverkning för att bevara och utveckla /försöksver</t>
        </is>
      </c>
      <c r="D78" s="1" t="n">
        <v>45840</v>
      </c>
      <c r="E78" s="1" t="n">
        <v>46320</v>
      </c>
      <c r="F78" t="inlineStr">
        <is>
          <t>VÄSTMANLANDS LÄN</t>
        </is>
      </c>
      <c r="G78" t="inlineStr">
        <is>
          <t>FAGERSTA</t>
        </is>
      </c>
      <c r="H78" t="inlineStr">
        <is>
          <t>Sveaskog</t>
        </is>
      </c>
      <c r="I78" t="n">
        <v>2.9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33193-2026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46246</v>
      </c>
      <c r="E79" s="1" t="n">
        <v>46320</v>
      </c>
      <c r="F79" t="inlineStr">
        <is>
          <t>VÄSTMANLANDS LÄN</t>
        </is>
      </c>
      <c r="G79" t="inlineStr">
        <is>
          <t>FAGERSTA</t>
        </is>
      </c>
      <c r="H79" t="inlineStr">
        <is>
          <t>Sveaskog</t>
        </is>
      </c>
      <c r="I79" t="n">
        <v>7.3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62095-2022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44919</v>
      </c>
      <c r="E80" s="1" t="n">
        <v>46320</v>
      </c>
      <c r="F80" t="inlineStr">
        <is>
          <t>VÄSTMANLANDS LÄN</t>
        </is>
      </c>
      <c r="G80" t="inlineStr">
        <is>
          <t>FAGERSTA</t>
        </is>
      </c>
      <c r="I80" t="n">
        <v>2.8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34374-2025</t>
        </is>
      </c>
      <c r="B81" t="inlineStr">
        <is>
          <t>avverkningsanmälan</t>
        </is>
      </c>
      <c r="C81" t="inlineStr">
        <is>
          <t>Avverkning för att bevara och utveckla /försöksver</t>
        </is>
      </c>
      <c r="D81" s="1" t="n">
        <v>45846</v>
      </c>
      <c r="E81" s="1" t="n">
        <v>46320</v>
      </c>
      <c r="F81" t="inlineStr">
        <is>
          <t>VÄSTMANLANDS LÄN</t>
        </is>
      </c>
      <c r="G81" t="inlineStr">
        <is>
          <t>FAGERSTA</t>
        </is>
      </c>
      <c r="H81" t="inlineStr">
        <is>
          <t>Sveaskog</t>
        </is>
      </c>
      <c r="I81" t="n">
        <v>4.4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48261-2022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44858</v>
      </c>
      <c r="E82" s="1" t="n">
        <v>46320</v>
      </c>
      <c r="F82" t="inlineStr">
        <is>
          <t>VÄSTMANLANDS LÄN</t>
        </is>
      </c>
      <c r="G82" t="inlineStr">
        <is>
          <t>FAGERSTA</t>
        </is>
      </c>
      <c r="I82" t="n">
        <v>1.7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28425-2025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45819</v>
      </c>
      <c r="E83" s="1" t="n">
        <v>46320</v>
      </c>
      <c r="F83" t="inlineStr">
        <is>
          <t>VÄSTMANLANDS LÄN</t>
        </is>
      </c>
      <c r="G83" t="inlineStr">
        <is>
          <t>FAGERSTA</t>
        </is>
      </c>
      <c r="I83" t="n">
        <v>2.7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34766-2026</t>
        </is>
      </c>
      <c r="B84" t="inlineStr">
        <is>
          <t>avverkningsanmälan</t>
        </is>
      </c>
      <c r="C84" t="inlineStr">
        <is>
          <t>Avverkning för att bevara och utveckla /försöksver</t>
        </is>
      </c>
      <c r="D84" s="1" t="n">
        <v>46258</v>
      </c>
      <c r="E84" s="1" t="n">
        <v>46320</v>
      </c>
      <c r="F84" t="inlineStr">
        <is>
          <t>VÄSTMANLANDS LÄN</t>
        </is>
      </c>
      <c r="G84" t="inlineStr">
        <is>
          <t>FAGERSTA</t>
        </is>
      </c>
      <c r="H84" t="inlineStr">
        <is>
          <t>Sveaskog</t>
        </is>
      </c>
      <c r="I84" t="n">
        <v>6.6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17886-2026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46122</v>
      </c>
      <c r="E85" s="1" t="n">
        <v>46320</v>
      </c>
      <c r="F85" t="inlineStr">
        <is>
          <t>VÄSTMANLANDS LÄN</t>
        </is>
      </c>
      <c r="G85" t="inlineStr">
        <is>
          <t>FAGERSTA</t>
        </is>
      </c>
      <c r="H85" t="inlineStr">
        <is>
          <t>Sveaskog</t>
        </is>
      </c>
      <c r="I85" t="n">
        <v>0.6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18782-2026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46128</v>
      </c>
      <c r="E86" s="1" t="n">
        <v>46320</v>
      </c>
      <c r="F86" t="inlineStr">
        <is>
          <t>VÄSTMANLANDS LÄN</t>
        </is>
      </c>
      <c r="G86" t="inlineStr">
        <is>
          <t>FAGERSTA</t>
        </is>
      </c>
      <c r="H86" t="inlineStr">
        <is>
          <t>Sveaskog</t>
        </is>
      </c>
      <c r="I86" t="n">
        <v>2.2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18781-2026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46128</v>
      </c>
      <c r="E87" s="1" t="n">
        <v>46320</v>
      </c>
      <c r="F87" t="inlineStr">
        <is>
          <t>VÄSTMANLANDS LÄN</t>
        </is>
      </c>
      <c r="G87" t="inlineStr">
        <is>
          <t>FAGERSTA</t>
        </is>
      </c>
      <c r="H87" t="inlineStr">
        <is>
          <t>Sveaskog</t>
        </is>
      </c>
      <c r="I87" t="n">
        <v>8.699999999999999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18783-2026</t>
        </is>
      </c>
      <c r="B88" t="inlineStr">
        <is>
          <t>avverkningsanmälan</t>
        </is>
      </c>
      <c r="C88" t="inlineStr">
        <is>
          <t>Avverkning för att bevara och utveckla /försöksver</t>
        </is>
      </c>
      <c r="D88" s="1" t="n">
        <v>46128</v>
      </c>
      <c r="E88" s="1" t="n">
        <v>46320</v>
      </c>
      <c r="F88" t="inlineStr">
        <is>
          <t>VÄSTMANLANDS LÄN</t>
        </is>
      </c>
      <c r="G88" t="inlineStr">
        <is>
          <t>FAGERSTA</t>
        </is>
      </c>
      <c r="H88" t="inlineStr">
        <is>
          <t>Sveaskog</t>
        </is>
      </c>
      <c r="I88" t="n">
        <v>2.9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17893-2026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46122</v>
      </c>
      <c r="E89" s="1" t="n">
        <v>46320</v>
      </c>
      <c r="F89" t="inlineStr">
        <is>
          <t>VÄSTMANLANDS LÄN</t>
        </is>
      </c>
      <c r="G89" t="inlineStr">
        <is>
          <t>FAGERSTA</t>
        </is>
      </c>
      <c r="H89" t="inlineStr">
        <is>
          <t>Sveaskog</t>
        </is>
      </c>
      <c r="I89" t="n">
        <v>6.9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42844-2024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45566</v>
      </c>
      <c r="E90" s="1" t="n">
        <v>46320</v>
      </c>
      <c r="F90" t="inlineStr">
        <is>
          <t>VÄSTMANLANDS LÄN</t>
        </is>
      </c>
      <c r="G90" t="inlineStr">
        <is>
          <t>FAGERSTA</t>
        </is>
      </c>
      <c r="I90" t="n">
        <v>0.9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19707-2026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46134</v>
      </c>
      <c r="E91" s="1" t="n">
        <v>46320</v>
      </c>
      <c r="F91" t="inlineStr">
        <is>
          <t>VÄSTMANLANDS LÄN</t>
        </is>
      </c>
      <c r="G91" t="inlineStr">
        <is>
          <t>FAGERSTA</t>
        </is>
      </c>
      <c r="H91" t="inlineStr">
        <is>
          <t>Sveaskog</t>
        </is>
      </c>
      <c r="I91" t="n">
        <v>13.2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19708-2026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46134</v>
      </c>
      <c r="E92" s="1" t="n">
        <v>46320</v>
      </c>
      <c r="F92" t="inlineStr">
        <is>
          <t>VÄSTMANLANDS LÄN</t>
        </is>
      </c>
      <c r="G92" t="inlineStr">
        <is>
          <t>FAGERSTA</t>
        </is>
      </c>
      <c r="H92" t="inlineStr">
        <is>
          <t>Sveaskog</t>
        </is>
      </c>
      <c r="I92" t="n">
        <v>4.4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19825-2026</t>
        </is>
      </c>
      <c r="B93" t="inlineStr">
        <is>
          <t>avverkningsanmälan</t>
        </is>
      </c>
      <c r="C93" t="inlineStr">
        <is>
          <t>Avverkning för att bevara och utveckla /försöksver</t>
        </is>
      </c>
      <c r="D93" s="1" t="n">
        <v>46135</v>
      </c>
      <c r="E93" s="1" t="n">
        <v>46320</v>
      </c>
      <c r="F93" t="inlineStr">
        <is>
          <t>VÄSTMANLANDS LÄN</t>
        </is>
      </c>
      <c r="G93" t="inlineStr">
        <is>
          <t>FAGERSTA</t>
        </is>
      </c>
      <c r="H93" t="inlineStr">
        <is>
          <t>Sveaskog</t>
        </is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21679-2024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45442</v>
      </c>
      <c r="E94" s="1" t="n">
        <v>46320</v>
      </c>
      <c r="F94" t="inlineStr">
        <is>
          <t>VÄSTMANLANDS LÄN</t>
        </is>
      </c>
      <c r="G94" t="inlineStr">
        <is>
          <t>FAGERSTA</t>
        </is>
      </c>
      <c r="I94" t="n">
        <v>0.6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36365-2026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46268</v>
      </c>
      <c r="E95" s="1" t="n">
        <v>46320</v>
      </c>
      <c r="F95" t="inlineStr">
        <is>
          <t>VÄSTMANLANDS LÄN</t>
        </is>
      </c>
      <c r="G95" t="inlineStr">
        <is>
          <t>FAGERSTA</t>
        </is>
      </c>
      <c r="H95" t="inlineStr">
        <is>
          <t>Kommuner</t>
        </is>
      </c>
      <c r="I95" t="n">
        <v>2.2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20583-2026</t>
        </is>
      </c>
      <c r="B96" t="inlineStr">
        <is>
          <t>avverkningsanmälan</t>
        </is>
      </c>
      <c r="C96" t="inlineStr">
        <is>
          <t>Avverkning för annat ändamål</t>
        </is>
      </c>
      <c r="D96" s="1" t="n">
        <v>46140</v>
      </c>
      <c r="E96" s="1" t="n">
        <v>46320</v>
      </c>
      <c r="F96" t="inlineStr">
        <is>
          <t>VÄSTMANLANDS LÄN</t>
        </is>
      </c>
      <c r="G96" t="inlineStr">
        <is>
          <t>FAGERSTA</t>
        </is>
      </c>
      <c r="H96" t="inlineStr">
        <is>
          <t>Sveaskog</t>
        </is>
      </c>
      <c r="I96" t="n">
        <v>0.4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43687-2026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46316</v>
      </c>
      <c r="E97" s="1" t="n">
        <v>46320</v>
      </c>
      <c r="F97" t="inlineStr">
        <is>
          <t>VÄSTMANLANDS LÄN</t>
        </is>
      </c>
      <c r="G97" t="inlineStr">
        <is>
          <t>FAGERSTA</t>
        </is>
      </c>
      <c r="I97" t="n">
        <v>1.4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8264-2023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44974</v>
      </c>
      <c r="E98" s="1" t="n">
        <v>46320</v>
      </c>
      <c r="F98" t="inlineStr">
        <is>
          <t>VÄSTMANLANDS LÄN</t>
        </is>
      </c>
      <c r="G98" t="inlineStr">
        <is>
          <t>FAGERSTA</t>
        </is>
      </c>
      <c r="I98" t="n">
        <v>8.5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37235-2026</t>
        </is>
      </c>
      <c r="B99" t="inlineStr">
        <is>
          <t>avverkningsanmälan</t>
        </is>
      </c>
      <c r="C99" t="inlineStr">
        <is>
          <t>Avverkning för att bevara och utveckla /försöksver</t>
        </is>
      </c>
      <c r="D99" s="1" t="n">
        <v>46274</v>
      </c>
      <c r="E99" s="1" t="n">
        <v>46320</v>
      </c>
      <c r="F99" t="inlineStr">
        <is>
          <t>VÄSTMANLANDS LÄN</t>
        </is>
      </c>
      <c r="G99" t="inlineStr">
        <is>
          <t>FAGERSTA</t>
        </is>
      </c>
      <c r="H99" t="inlineStr">
        <is>
          <t>Sveaskog</t>
        </is>
      </c>
      <c r="I99" t="n">
        <v>6.5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37228-2026</t>
        </is>
      </c>
      <c r="B100" t="inlineStr">
        <is>
          <t>avverkningsanmälan</t>
        </is>
      </c>
      <c r="C100" t="inlineStr">
        <is>
          <t>Avverkning för att bevara och utveckla /försöksver</t>
        </is>
      </c>
      <c r="D100" s="1" t="n">
        <v>46274</v>
      </c>
      <c r="E100" s="1" t="n">
        <v>46320</v>
      </c>
      <c r="F100" t="inlineStr">
        <is>
          <t>VÄSTMANLANDS LÄN</t>
        </is>
      </c>
      <c r="G100" t="inlineStr">
        <is>
          <t>FAGERSTA</t>
        </is>
      </c>
      <c r="H100" t="inlineStr">
        <is>
          <t>Sveaskog</t>
        </is>
      </c>
      <c r="I100" t="n">
        <v>5.9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37231-2026</t>
        </is>
      </c>
      <c r="B101" t="inlineStr">
        <is>
          <t>avverkningsanmälan</t>
        </is>
      </c>
      <c r="C101" t="inlineStr">
        <is>
          <t>Avverkning för att bevara och utveckla /försöksver</t>
        </is>
      </c>
      <c r="D101" s="1" t="n">
        <v>46274</v>
      </c>
      <c r="E101" s="1" t="n">
        <v>46320</v>
      </c>
      <c r="F101" t="inlineStr">
        <is>
          <t>VÄSTMANLANDS LÄN</t>
        </is>
      </c>
      <c r="G101" t="inlineStr">
        <is>
          <t>FAGERSTA</t>
        </is>
      </c>
      <c r="H101" t="inlineStr">
        <is>
          <t>Sveaskog</t>
        </is>
      </c>
      <c r="I101" t="n">
        <v>2.9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37234-2026</t>
        </is>
      </c>
      <c r="B102" t="inlineStr">
        <is>
          <t>avverkningsanmälan</t>
        </is>
      </c>
      <c r="C102" t="inlineStr">
        <is>
          <t>Avverkning för att bevara och utveckla /försöksver</t>
        </is>
      </c>
      <c r="D102" s="1" t="n">
        <v>46274</v>
      </c>
      <c r="E102" s="1" t="n">
        <v>46320</v>
      </c>
      <c r="F102" t="inlineStr">
        <is>
          <t>VÄSTMANLANDS LÄN</t>
        </is>
      </c>
      <c r="G102" t="inlineStr">
        <is>
          <t>FAGERSTA</t>
        </is>
      </c>
      <c r="H102" t="inlineStr">
        <is>
          <t>Sveaskog</t>
        </is>
      </c>
      <c r="I102" t="n">
        <v>5.7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29073-2025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45821</v>
      </c>
      <c r="E103" s="1" t="n">
        <v>46320</v>
      </c>
      <c r="F103" t="inlineStr">
        <is>
          <t>VÄSTMANLANDS LÄN</t>
        </is>
      </c>
      <c r="G103" t="inlineStr">
        <is>
          <t>FAGERSTA</t>
        </is>
      </c>
      <c r="H103" t="inlineStr">
        <is>
          <t>Sveaskog</t>
        </is>
      </c>
      <c r="I103" t="n">
        <v>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22482-2023</t>
        </is>
      </c>
      <c r="B104" t="inlineStr">
        <is>
          <t>avverkningsanmälan</t>
        </is>
      </c>
      <c r="C104" t="inlineStr">
        <is>
          <t>Avverkning för annat ändamål</t>
        </is>
      </c>
      <c r="D104" s="1" t="n">
        <v>45071</v>
      </c>
      <c r="E104" s="1" t="n">
        <v>46320</v>
      </c>
      <c r="F104" t="inlineStr">
        <is>
          <t>VÄSTMANLANDS LÄN</t>
        </is>
      </c>
      <c r="G104" t="inlineStr">
        <is>
          <t>FAGERSTA</t>
        </is>
      </c>
      <c r="H104" t="inlineStr">
        <is>
          <t>Sveaskog</t>
        </is>
      </c>
      <c r="I104" t="n">
        <v>1.1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22485-2023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45071</v>
      </c>
      <c r="E105" s="1" t="n">
        <v>46320</v>
      </c>
      <c r="F105" t="inlineStr">
        <is>
          <t>VÄSTMANLANDS LÄN</t>
        </is>
      </c>
      <c r="G105" t="inlineStr">
        <is>
          <t>FAGERSTA</t>
        </is>
      </c>
      <c r="H105" t="inlineStr">
        <is>
          <t>Sveaskog</t>
        </is>
      </c>
      <c r="I105" t="n">
        <v>5.1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13391-2026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46094</v>
      </c>
      <c r="E106" s="1" t="n">
        <v>46320</v>
      </c>
      <c r="F106" t="inlineStr">
        <is>
          <t>VÄSTMANLANDS LÄN</t>
        </is>
      </c>
      <c r="G106" t="inlineStr">
        <is>
          <t>FAGERSTA</t>
        </is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21890-2026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46150</v>
      </c>
      <c r="E107" s="1" t="n">
        <v>46320</v>
      </c>
      <c r="F107" t="inlineStr">
        <is>
          <t>VÄSTMANLANDS LÄN</t>
        </is>
      </c>
      <c r="G107" t="inlineStr">
        <is>
          <t>FAGERSTA</t>
        </is>
      </c>
      <c r="H107" t="inlineStr">
        <is>
          <t>Sveaskog</t>
        </is>
      </c>
      <c r="I107" t="n">
        <v>1.1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21888-2026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46150</v>
      </c>
      <c r="E108" s="1" t="n">
        <v>46320</v>
      </c>
      <c r="F108" t="inlineStr">
        <is>
          <t>VÄSTMANLANDS LÄN</t>
        </is>
      </c>
      <c r="G108" t="inlineStr">
        <is>
          <t>FAGERSTA</t>
        </is>
      </c>
      <c r="H108" t="inlineStr">
        <is>
          <t>Sveaskog</t>
        </is>
      </c>
      <c r="I108" t="n">
        <v>4.2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21889-2026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46150</v>
      </c>
      <c r="E109" s="1" t="n">
        <v>46320</v>
      </c>
      <c r="F109" t="inlineStr">
        <is>
          <t>VÄSTMANLANDS LÄN</t>
        </is>
      </c>
      <c r="G109" t="inlineStr">
        <is>
          <t>FAGERSTA</t>
        </is>
      </c>
      <c r="H109" t="inlineStr">
        <is>
          <t>Sveaskog</t>
        </is>
      </c>
      <c r="I109" t="n">
        <v>7.1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21892-2026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46150</v>
      </c>
      <c r="E110" s="1" t="n">
        <v>46320</v>
      </c>
      <c r="F110" t="inlineStr">
        <is>
          <t>VÄSTMANLANDS LÄN</t>
        </is>
      </c>
      <c r="G110" t="inlineStr">
        <is>
          <t>FAGERSTA</t>
        </is>
      </c>
      <c r="H110" t="inlineStr">
        <is>
          <t>Sveaskog</t>
        </is>
      </c>
      <c r="I110" t="n">
        <v>3.5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21891-2026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46150</v>
      </c>
      <c r="E111" s="1" t="n">
        <v>46320</v>
      </c>
      <c r="F111" t="inlineStr">
        <is>
          <t>VÄSTMANLANDS LÄN</t>
        </is>
      </c>
      <c r="G111" t="inlineStr">
        <is>
          <t>FAGERSTA</t>
        </is>
      </c>
      <c r="H111" t="inlineStr">
        <is>
          <t>Sveaskog</t>
        </is>
      </c>
      <c r="I111" t="n">
        <v>11.8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41644-2025</t>
        </is>
      </c>
      <c r="B112" t="inlineStr">
        <is>
          <t>avverkningsanmälan</t>
        </is>
      </c>
      <c r="C112" t="inlineStr">
        <is>
          <t>Avverkning för annat ändamål</t>
        </is>
      </c>
      <c r="D112" s="1" t="n">
        <v>45902</v>
      </c>
      <c r="E112" s="1" t="n">
        <v>46320</v>
      </c>
      <c r="F112" t="inlineStr">
        <is>
          <t>VÄSTMANLANDS LÄN</t>
        </is>
      </c>
      <c r="G112" t="inlineStr">
        <is>
          <t>FAGERSTA</t>
        </is>
      </c>
      <c r="H112" t="inlineStr">
        <is>
          <t>Kommuner</t>
        </is>
      </c>
      <c r="I112" t="n">
        <v>1.7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12125-2023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44998</v>
      </c>
      <c r="E113" s="1" t="n">
        <v>46320</v>
      </c>
      <c r="F113" t="inlineStr">
        <is>
          <t>VÄSTMANLANDS LÄN</t>
        </is>
      </c>
      <c r="G113" t="inlineStr">
        <is>
          <t>FAGERSTA</t>
        </is>
      </c>
      <c r="H113" t="inlineStr">
        <is>
          <t>Övriga Aktiebolag</t>
        </is>
      </c>
      <c r="I113" t="n">
        <v>3.7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31231-2024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45503</v>
      </c>
      <c r="E114" s="1" t="n">
        <v>46320</v>
      </c>
      <c r="F114" t="inlineStr">
        <is>
          <t>VÄSTMANLANDS LÄN</t>
        </is>
      </c>
      <c r="G114" t="inlineStr">
        <is>
          <t>FAGERSTA</t>
        </is>
      </c>
      <c r="I114" t="n">
        <v>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10820-2025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45722</v>
      </c>
      <c r="E115" s="1" t="n">
        <v>46320</v>
      </c>
      <c r="F115" t="inlineStr">
        <is>
          <t>VÄSTMANLANDS LÄN</t>
        </is>
      </c>
      <c r="G115" t="inlineStr">
        <is>
          <t>FAGERSTA</t>
        </is>
      </c>
      <c r="H115" t="inlineStr">
        <is>
          <t>Sveaskog</t>
        </is>
      </c>
      <c r="I115" t="n">
        <v>11.5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7380-2025</t>
        </is>
      </c>
      <c r="B116" t="inlineStr">
        <is>
          <t>avverkningsanmälan</t>
        </is>
      </c>
      <c r="C116" t="inlineStr">
        <is>
          <t>Avverkning för annat ändamål</t>
        </is>
      </c>
      <c r="D116" s="1" t="n">
        <v>45705</v>
      </c>
      <c r="E116" s="1" t="n">
        <v>46320</v>
      </c>
      <c r="F116" t="inlineStr">
        <is>
          <t>VÄSTMANLANDS LÄN</t>
        </is>
      </c>
      <c r="G116" t="inlineStr">
        <is>
          <t>FAGERSTA</t>
        </is>
      </c>
      <c r="H116" t="inlineStr">
        <is>
          <t>Bergvik skog väst AB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26509-2022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44739</v>
      </c>
      <c r="E117" s="1" t="n">
        <v>46320</v>
      </c>
      <c r="F117" t="inlineStr">
        <is>
          <t>VÄSTMANLANDS LÄN</t>
        </is>
      </c>
      <c r="G117" t="inlineStr">
        <is>
          <t>FAGERSTA</t>
        </is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15812-2025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45748</v>
      </c>
      <c r="E118" s="1" t="n">
        <v>46320</v>
      </c>
      <c r="F118" t="inlineStr">
        <is>
          <t>VÄSTMANLANDS LÄN</t>
        </is>
      </c>
      <c r="G118" t="inlineStr">
        <is>
          <t>FAGERSTA</t>
        </is>
      </c>
      <c r="H118" t="inlineStr">
        <is>
          <t>Sveaskog</t>
        </is>
      </c>
      <c r="I118" t="n">
        <v>0.6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49311-2022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44861</v>
      </c>
      <c r="E119" s="1" t="n">
        <v>46320</v>
      </c>
      <c r="F119" t="inlineStr">
        <is>
          <t>VÄSTMANLANDS LÄN</t>
        </is>
      </c>
      <c r="G119" t="inlineStr">
        <is>
          <t>FAGERSTA</t>
        </is>
      </c>
      <c r="I119" t="n">
        <v>3.1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22484-2023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45071</v>
      </c>
      <c r="E120" s="1" t="n">
        <v>46320</v>
      </c>
      <c r="F120" t="inlineStr">
        <is>
          <t>VÄSTMANLANDS LÄN</t>
        </is>
      </c>
      <c r="G120" t="inlineStr">
        <is>
          <t>FAGERSTA</t>
        </is>
      </c>
      <c r="H120" t="inlineStr">
        <is>
          <t>Sveaskog</t>
        </is>
      </c>
      <c r="I120" t="n">
        <v>2.2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54804-2023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45236</v>
      </c>
      <c r="E121" s="1" t="n">
        <v>46320</v>
      </c>
      <c r="F121" t="inlineStr">
        <is>
          <t>VÄSTMANLANDS LÄN</t>
        </is>
      </c>
      <c r="G121" t="inlineStr">
        <is>
          <t>FAGERSTA</t>
        </is>
      </c>
      <c r="I121" t="n">
        <v>4.3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22323-2024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45446</v>
      </c>
      <c r="E122" s="1" t="n">
        <v>46320</v>
      </c>
      <c r="F122" t="inlineStr">
        <is>
          <t>VÄSTMANLANDS LÄN</t>
        </is>
      </c>
      <c r="G122" t="inlineStr">
        <is>
          <t>FAGERSTA</t>
        </is>
      </c>
      <c r="I122" t="n">
        <v>0.7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33007-2023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45125</v>
      </c>
      <c r="E123" s="1" t="n">
        <v>46320</v>
      </c>
      <c r="F123" t="inlineStr">
        <is>
          <t>VÄSTMANLANDS LÄN</t>
        </is>
      </c>
      <c r="G123" t="inlineStr">
        <is>
          <t>FAGERSTA</t>
        </is>
      </c>
      <c r="H123" t="inlineStr">
        <is>
          <t>Sveaskog</t>
        </is>
      </c>
      <c r="I123" t="n">
        <v>3.7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56694-2024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45627</v>
      </c>
      <c r="E124" s="1" t="n">
        <v>46320</v>
      </c>
      <c r="F124" t="inlineStr">
        <is>
          <t>VÄSTMANLANDS LÄN</t>
        </is>
      </c>
      <c r="G124" t="inlineStr">
        <is>
          <t>FAGERSTA</t>
        </is>
      </c>
      <c r="I124" t="n">
        <v>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19888-2025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45771</v>
      </c>
      <c r="E125" s="1" t="n">
        <v>46320</v>
      </c>
      <c r="F125" t="inlineStr">
        <is>
          <t>VÄSTMANLANDS LÄN</t>
        </is>
      </c>
      <c r="G125" t="inlineStr">
        <is>
          <t>FAGERSTA</t>
        </is>
      </c>
      <c r="H125" t="inlineStr">
        <is>
          <t>Sveaskog</t>
        </is>
      </c>
      <c r="I125" t="n">
        <v>16.8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37955-2023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45160</v>
      </c>
      <c r="E126" s="1" t="n">
        <v>46320</v>
      </c>
      <c r="F126" t="inlineStr">
        <is>
          <t>VÄSTMANLANDS LÄN</t>
        </is>
      </c>
      <c r="G126" t="inlineStr">
        <is>
          <t>FAGERSTA</t>
        </is>
      </c>
      <c r="I126" t="n">
        <v>1.8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58464-2024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45635</v>
      </c>
      <c r="E127" s="1" t="n">
        <v>46320</v>
      </c>
      <c r="F127" t="inlineStr">
        <is>
          <t>VÄSTMANLANDS LÄN</t>
        </is>
      </c>
      <c r="G127" t="inlineStr">
        <is>
          <t>FAGERSTA</t>
        </is>
      </c>
      <c r="I127" t="n">
        <v>0.7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19156-2025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45769</v>
      </c>
      <c r="E128" s="1" t="n">
        <v>46320</v>
      </c>
      <c r="F128" t="inlineStr">
        <is>
          <t>VÄSTMANLANDS LÄN</t>
        </is>
      </c>
      <c r="G128" t="inlineStr">
        <is>
          <t>FAGERSTA</t>
        </is>
      </c>
      <c r="H128" t="inlineStr">
        <is>
          <t>Bergvik skog väst AB</t>
        </is>
      </c>
      <c r="I128" t="n">
        <v>10.1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13697-2025</t>
        </is>
      </c>
      <c r="B129" t="inlineStr">
        <is>
          <t>avverkningsanmälan</t>
        </is>
      </c>
      <c r="C129" t="inlineStr">
        <is>
          <t>Avverkning för annat ändamål</t>
        </is>
      </c>
      <c r="D129" s="1" t="n">
        <v>45737</v>
      </c>
      <c r="E129" s="1" t="n">
        <v>46320</v>
      </c>
      <c r="F129" t="inlineStr">
        <is>
          <t>VÄSTMANLANDS LÄN</t>
        </is>
      </c>
      <c r="G129" t="inlineStr">
        <is>
          <t>FAGERSTA</t>
        </is>
      </c>
      <c r="H129" t="inlineStr">
        <is>
          <t>Bergvik skog väst AB</t>
        </is>
      </c>
      <c r="I129" t="n">
        <v>1.6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33357-2023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45128</v>
      </c>
      <c r="E130" s="1" t="n">
        <v>46320</v>
      </c>
      <c r="F130" t="inlineStr">
        <is>
          <t>VÄSTMANLANDS LÄN</t>
        </is>
      </c>
      <c r="G130" t="inlineStr">
        <is>
          <t>FAGERSTA</t>
        </is>
      </c>
      <c r="H130" t="inlineStr">
        <is>
          <t>Sveaskog</t>
        </is>
      </c>
      <c r="I130" t="n">
        <v>1.8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45390-2023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45193</v>
      </c>
      <c r="E131" s="1" t="n">
        <v>46320</v>
      </c>
      <c r="F131" t="inlineStr">
        <is>
          <t>VÄSTMANLANDS LÄN</t>
        </is>
      </c>
      <c r="G131" t="inlineStr">
        <is>
          <t>FAGERSTA</t>
        </is>
      </c>
      <c r="I131" t="n">
        <v>8.4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56698-2024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45627</v>
      </c>
      <c r="E132" s="1" t="n">
        <v>46320</v>
      </c>
      <c r="F132" t="inlineStr">
        <is>
          <t>VÄSTMANLANDS LÄN</t>
        </is>
      </c>
      <c r="G132" t="inlineStr">
        <is>
          <t>FAGERSTA</t>
        </is>
      </c>
      <c r="I132" t="n">
        <v>3.5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63480-2023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45274</v>
      </c>
      <c r="E133" s="1" t="n">
        <v>46320</v>
      </c>
      <c r="F133" t="inlineStr">
        <is>
          <t>VÄSTMANLANDS LÄN</t>
        </is>
      </c>
      <c r="G133" t="inlineStr">
        <is>
          <t>FAGERSTA</t>
        </is>
      </c>
      <c r="I133" t="n">
        <v>1.9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4264-2023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44953</v>
      </c>
      <c r="E134" s="1" t="n">
        <v>46320</v>
      </c>
      <c r="F134" t="inlineStr">
        <is>
          <t>VÄSTMANLANDS LÄN</t>
        </is>
      </c>
      <c r="G134" t="inlineStr">
        <is>
          <t>FAGERSTA</t>
        </is>
      </c>
      <c r="I134" t="n">
        <v>1.9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S 2078-2025</t>
        </is>
      </c>
      <c r="B135" t="inlineStr">
        <is>
          <t>samrådsanmälan</t>
        </is>
      </c>
      <c r="C135" t="inlineStr">
        <is>
          <t>Annan skogsbruksåtgärd</t>
        </is>
      </c>
      <c r="D135" s="1" t="n">
        <v>45840</v>
      </c>
      <c r="E135" s="1" t="n">
        <v>46320</v>
      </c>
      <c r="F135" t="inlineStr">
        <is>
          <t>VÄSTMANLANDS LÄN</t>
        </is>
      </c>
      <c r="G135" t="inlineStr">
        <is>
          <t>FAGERSTA</t>
        </is>
      </c>
      <c r="H135" t="inlineStr">
        <is>
          <t>Sveaskog</t>
        </is>
      </c>
      <c r="I135" t="n">
        <v>4.2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S 2080-2025</t>
        </is>
      </c>
      <c r="B136" t="inlineStr">
        <is>
          <t>samrådsanmälan</t>
        </is>
      </c>
      <c r="C136" t="inlineStr">
        <is>
          <t>Annan skogsbruksåtgärd</t>
        </is>
      </c>
      <c r="D136" s="1" t="n">
        <v>45840</v>
      </c>
      <c r="E136" s="1" t="n">
        <v>46320</v>
      </c>
      <c r="F136" t="inlineStr">
        <is>
          <t>VÄSTMANLANDS LÄN</t>
        </is>
      </c>
      <c r="G136" t="inlineStr">
        <is>
          <t>FAGERSTA</t>
        </is>
      </c>
      <c r="H136" t="inlineStr">
        <is>
          <t>Sveaskog</t>
        </is>
      </c>
      <c r="I136" t="n">
        <v>1.7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S 2079-2025</t>
        </is>
      </c>
      <c r="B137" t="inlineStr">
        <is>
          <t>samrådsanmälan</t>
        </is>
      </c>
      <c r="C137" t="inlineStr">
        <is>
          <t>Annan skogsbruksåtgärd</t>
        </is>
      </c>
      <c r="D137" s="1" t="n">
        <v>45840</v>
      </c>
      <c r="E137" s="1" t="n">
        <v>46320</v>
      </c>
      <c r="F137" t="inlineStr">
        <is>
          <t>VÄSTMANLANDS LÄN</t>
        </is>
      </c>
      <c r="G137" t="inlineStr">
        <is>
          <t>FAGERSTA</t>
        </is>
      </c>
      <c r="H137" t="inlineStr">
        <is>
          <t>Sveaskog</t>
        </is>
      </c>
      <c r="I137" t="n">
        <v>2.9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S 2121-2025</t>
        </is>
      </c>
      <c r="B138" t="inlineStr">
        <is>
          <t>samrådsanmälan</t>
        </is>
      </c>
      <c r="C138" t="inlineStr">
        <is>
          <t>Annan skogsbruksåtgärd</t>
        </is>
      </c>
      <c r="D138" s="1" t="n">
        <v>45846</v>
      </c>
      <c r="E138" s="1" t="n">
        <v>46320</v>
      </c>
      <c r="F138" t="inlineStr">
        <is>
          <t>VÄSTMANLANDS LÄN</t>
        </is>
      </c>
      <c r="G138" t="inlineStr">
        <is>
          <t>FAGERSTA</t>
        </is>
      </c>
      <c r="H138" t="inlineStr">
        <is>
          <t>Sveaskog</t>
        </is>
      </c>
      <c r="I138" t="n">
        <v>4.4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S 3554-2025</t>
        </is>
      </c>
      <c r="B139" t="inlineStr">
        <is>
          <t>samrådsanmälan</t>
        </is>
      </c>
      <c r="C139" t="inlineStr">
        <is>
          <t>Annan skogsbruksåtgärd</t>
        </is>
      </c>
      <c r="D139" s="1" t="n">
        <v>46010</v>
      </c>
      <c r="E139" s="1" t="n">
        <v>46320</v>
      </c>
      <c r="F139" t="inlineStr">
        <is>
          <t>VÄSTMANLANDS LÄN</t>
        </is>
      </c>
      <c r="G139" t="inlineStr">
        <is>
          <t>FAGERSTA</t>
        </is>
      </c>
      <c r="H139" t="inlineStr">
        <is>
          <t>Sveaskog</t>
        </is>
      </c>
      <c r="I139" t="n">
        <v>3.3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S 1073-2026</t>
        </is>
      </c>
      <c r="B140" t="inlineStr">
        <is>
          <t>samrådsanmälan</t>
        </is>
      </c>
      <c r="C140" t="inlineStr">
        <is>
          <t>Annan skogsbruksåtgärd</t>
        </is>
      </c>
      <c r="D140" s="1" t="n">
        <v>46128</v>
      </c>
      <c r="E140" s="1" t="n">
        <v>46320</v>
      </c>
      <c r="F140" t="inlineStr">
        <is>
          <t>VÄSTMANLANDS LÄN</t>
        </is>
      </c>
      <c r="G140" t="inlineStr">
        <is>
          <t>FAGERSTA</t>
        </is>
      </c>
      <c r="H140" t="inlineStr">
        <is>
          <t>Sveaskog</t>
        </is>
      </c>
      <c r="I140" t="n">
        <v>2.9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S 1143-2026</t>
        </is>
      </c>
      <c r="B141" t="inlineStr">
        <is>
          <t>samrådsanmälan</t>
        </is>
      </c>
      <c r="C141" t="inlineStr">
        <is>
          <t>Annan skogsbruksåtgärd</t>
        </is>
      </c>
      <c r="D141" s="1" t="n">
        <v>46135</v>
      </c>
      <c r="E141" s="1" t="n">
        <v>46320</v>
      </c>
      <c r="F141" t="inlineStr">
        <is>
          <t>VÄSTMANLANDS LÄN</t>
        </is>
      </c>
      <c r="G141" t="inlineStr">
        <is>
          <t>FAGERSTA</t>
        </is>
      </c>
      <c r="H141" t="inlineStr">
        <is>
          <t>Sveaskog</t>
        </is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S 2213-2026</t>
        </is>
      </c>
      <c r="B142" t="inlineStr">
        <is>
          <t>samrådsanmälan</t>
        </is>
      </c>
      <c r="C142" t="inlineStr">
        <is>
          <t>Annan skogsbruksåtgärd</t>
        </is>
      </c>
      <c r="D142" s="1" t="n">
        <v>46258</v>
      </c>
      <c r="E142" s="1" t="n">
        <v>46320</v>
      </c>
      <c r="F142" t="inlineStr">
        <is>
          <t>VÄSTMANLANDS LÄN</t>
        </is>
      </c>
      <c r="G142" t="inlineStr">
        <is>
          <t>FAGERSTA</t>
        </is>
      </c>
      <c r="H142" t="inlineStr">
        <is>
          <t>Sveaskog</t>
        </is>
      </c>
      <c r="I142" t="n">
        <v>6.6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>
      <c r="A143" t="inlineStr">
        <is>
          <t>S 2358-2026</t>
        </is>
      </c>
      <c r="B143" t="inlineStr">
        <is>
          <t>samrådsanmälan</t>
        </is>
      </c>
      <c r="C143" t="inlineStr">
        <is>
          <t>Annan skogsbruksåtgärd</t>
        </is>
      </c>
      <c r="D143" s="1" t="n">
        <v>46274</v>
      </c>
      <c r="E143" s="1" t="n">
        <v>46320</v>
      </c>
      <c r="F143" t="inlineStr">
        <is>
          <t>VÄSTMANLANDS LÄN</t>
        </is>
      </c>
      <c r="G143" t="inlineStr">
        <is>
          <t>FAGERSTA</t>
        </is>
      </c>
      <c r="H143" t="inlineStr">
        <is>
          <t>Sveaskog</t>
        </is>
      </c>
      <c r="I143" t="n">
        <v>2.9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2026-10-25T02:03:23Z</dcterms:created>
  <dcterms:modified xmlns:dcterms="http://purl.org/dc/terms/" xmlns:xsi="http://www.w3.org/2001/XMLSchema-instance" xsi:type="dcterms:W3CDTF">2026-10-25T02:03:23Z</dcterms:modified>
</cp:coreProperties>
</file>