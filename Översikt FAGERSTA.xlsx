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46324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46324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46324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46324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46324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46324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46324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46324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46324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46324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46324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46324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46324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58307-2024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46324</v>
      </c>
      <c r="F15" t="inlineStr">
        <is>
          <t>VÄSTMANLANDS LÄN</t>
        </is>
      </c>
      <c r="G15" t="inlineStr">
        <is>
          <t>FAGERSTA</t>
        </is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Mindre märgborre</t>
        </is>
      </c>
      <c r="W15">
        <f>HYPERLINK("https://klasma.github.io/Logging_1982/artfynd/A 58307-2024 artfynd.xlsx", "A 58307-2024")</f>
        <v/>
      </c>
      <c r="X15">
        <f>HYPERLINK("https://klasma.github.io/Logging_1982/kartor/A 58307-2024 karta.png", "A 58307-2024")</f>
        <v/>
      </c>
      <c r="Y15">
        <f>HYPERLINK("https://klasma.github.io/Logging_1982/kartor_geotiff/A 58307-2024 georefererad karta.tif", "A 58307-2024")</f>
        <v/>
      </c>
      <c r="AA15">
        <f>HYPERLINK("https://klasma.github.io/Logging_1982/klagomål/A 58307-2024 FSC-klagomål.docx", "A 58307-2024")</f>
        <v/>
      </c>
      <c r="AB15">
        <f>HYPERLINK("https://klasma.github.io/Logging_1982/klagomålsmail/A 58307-2024 FSC-klagomål mail.docx", "A 58307-2024")</f>
        <v/>
      </c>
      <c r="AC15">
        <f>HYPERLINK("https://klasma.github.io/Logging_1982/tillsyn/A 58307-2024 tillsynsbegäran.docx", "A 58307-2024")</f>
        <v/>
      </c>
      <c r="AD15">
        <f>HYPERLINK("https://klasma.github.io/Logging_1982/tillsynsmail/A 58307-2024 tillsynsbegäran mail.docx", "A 58307-2024")</f>
        <v/>
      </c>
    </row>
    <row r="16" ht="15" customHeight="1">
      <c r="A16" t="inlineStr">
        <is>
          <t>A 50226-2025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45943</v>
      </c>
      <c r="E16" s="1" t="n">
        <v>46324</v>
      </c>
      <c r="F16" t="inlineStr">
        <is>
          <t>VÄSTMANLANDS LÄN</t>
        </is>
      </c>
      <c r="G16" t="inlineStr">
        <is>
          <t>FAGERSTA</t>
        </is>
      </c>
      <c r="H16" t="inlineStr">
        <is>
          <t>Kommuner</t>
        </is>
      </c>
      <c r="I16" t="n">
        <v>0.1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Ärtsångare</t>
        </is>
      </c>
      <c r="W16">
        <f>HYPERLINK("https://klasma.github.io/Logging_1982/artfynd/A 50226-2025 artfynd.xlsx", "A 50226-2025")</f>
        <v/>
      </c>
      <c r="X16">
        <f>HYPERLINK("https://klasma.github.io/Logging_1982/kartor/A 50226-2025 karta.png", "A 50226-2025")</f>
        <v/>
      </c>
      <c r="Y16">
        <f>HYPERLINK("https://klasma.github.io/Logging_1982/kartor_geotiff/A 50226-2025 georefererad karta.tif", "A 50226-2025")</f>
        <v/>
      </c>
      <c r="AA16">
        <f>HYPERLINK("https://klasma.github.io/Logging_1982/klagomål/A 50226-2025 FSC-klagomål.docx", "A 50226-2025")</f>
        <v/>
      </c>
      <c r="AB16">
        <f>HYPERLINK("https://klasma.github.io/Logging_1982/klagomålsmail/A 50226-2025 FSC-klagomål mail.docx", "A 50226-2025")</f>
        <v/>
      </c>
      <c r="AC16">
        <f>HYPERLINK("https://klasma.github.io/Logging_1982/tillsyn/A 50226-2025 tillsynsbegäran.docx", "A 50226-2025")</f>
        <v/>
      </c>
      <c r="AD16">
        <f>HYPERLINK("https://klasma.github.io/Logging_1982/tillsynsmail/A 50226-2025 tillsynsbegäran mail.docx", "A 50226-2025")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46324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19550-2025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46324</v>
      </c>
      <c r="F18" t="inlineStr">
        <is>
          <t>VÄSTMANLANDS LÄN</t>
        </is>
      </c>
      <c r="G18" t="inlineStr">
        <is>
          <t>FAGERSTA</t>
        </is>
      </c>
      <c r="I18" t="n">
        <v>16.4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HYPERLINK("https://klasma.github.io/Logging_1982/artfynd/A 19550-2025 artfynd.xlsx", "A 19550-2025")</f>
        <v/>
      </c>
      <c r="X18">
        <f>HYPERLINK("https://klasma.github.io/Logging_1982/kartor/A 19550-2025 karta.png", "A 19550-2025")</f>
        <v/>
      </c>
      <c r="Y18">
        <f>HYPERLINK("https://klasma.github.io/Logging_1982/kartor_geotiff/A 19550-2025 georefererad karta.tif", "A 19550-2025")</f>
        <v/>
      </c>
      <c r="AA18">
        <f>HYPERLINK("https://klasma.github.io/Logging_1982/klagomål/A 19550-2025 FSC-klagomål.docx", "A 19550-2025")</f>
        <v/>
      </c>
      <c r="AB18">
        <f>HYPERLINK("https://klasma.github.io/Logging_1982/klagomålsmail/A 19550-2025 FSC-klagomål mail.docx", "A 19550-2025")</f>
        <v/>
      </c>
      <c r="AC18">
        <f>HYPERLINK("https://klasma.github.io/Logging_1982/tillsyn/A 19550-2025 tillsynsbegäran.docx", "A 19550-2025")</f>
        <v/>
      </c>
      <c r="AD18">
        <f>HYPERLINK("https://klasma.github.io/Logging_1982/tillsynsmail/A 19550-2025 tillsynsbegäran mail.docx", "A 19550-2025")</f>
        <v/>
      </c>
    </row>
    <row r="19" ht="15" customHeight="1">
      <c r="A19" t="inlineStr">
        <is>
          <t>A 74421-2021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44533</v>
      </c>
      <c r="E19" s="1" t="n">
        <v>46324</v>
      </c>
      <c r="F19" t="inlineStr">
        <is>
          <t>VÄSTMANLANDS LÄN</t>
        </is>
      </c>
      <c r="G19" t="inlineStr">
        <is>
          <t>FAGERSTA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70012-2021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46324</v>
      </c>
      <c r="F20" t="inlineStr">
        <is>
          <t>VÄSTMANLANDS LÄN</t>
        </is>
      </c>
      <c r="G20" t="inlineStr">
        <is>
          <t>FAGERSTA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46324</v>
      </c>
      <c r="F21" t="inlineStr">
        <is>
          <t>VÄSTMANLANDS LÄN</t>
        </is>
      </c>
      <c r="G21" t="inlineStr">
        <is>
          <t>FAGERSTA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74356-2021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44559</v>
      </c>
      <c r="E22" s="1" t="n">
        <v>46324</v>
      </c>
      <c r="F22" t="inlineStr">
        <is>
          <t>VÄSTMANLANDS LÄN</t>
        </is>
      </c>
      <c r="G22" t="inlineStr">
        <is>
          <t>FAGERSTA</t>
        </is>
      </c>
      <c r="I22" t="n">
        <v>7.9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74423-2021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46324</v>
      </c>
      <c r="F23" t="inlineStr">
        <is>
          <t>VÄSTMANLANDS LÄN</t>
        </is>
      </c>
      <c r="G23" t="inlineStr">
        <is>
          <t>FAGERSTA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44776</v>
      </c>
      <c r="E24" s="1" t="n">
        <v>46324</v>
      </c>
      <c r="F24" t="inlineStr">
        <is>
          <t>VÄSTMANLANDS LÄN</t>
        </is>
      </c>
      <c r="G24" t="inlineStr">
        <is>
          <t>FAGERSTA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30868-2022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44767</v>
      </c>
      <c r="E25" s="1" t="n">
        <v>46324</v>
      </c>
      <c r="F25" t="inlineStr">
        <is>
          <t>VÄSTMANLANDS LÄN</t>
        </is>
      </c>
      <c r="G25" t="inlineStr">
        <is>
          <t>FAGERSTA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74425-2021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46324</v>
      </c>
      <c r="F26" t="inlineStr">
        <is>
          <t>VÄSTMANLANDS LÄN</t>
        </is>
      </c>
      <c r="G26" t="inlineStr">
        <is>
          <t>FAGERSTA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29510-2022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46324</v>
      </c>
      <c r="F27" t="inlineStr">
        <is>
          <t>VÄSTMANLANDS LÄN</t>
        </is>
      </c>
      <c r="G27" t="inlineStr">
        <is>
          <t>FAGERSTA</t>
        </is>
      </c>
      <c r="H27" t="inlineStr">
        <is>
          <t>Sveaskog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46324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63480-2023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46324</v>
      </c>
      <c r="F29" t="inlineStr">
        <is>
          <t>VÄSTMANLANDS LÄN</t>
        </is>
      </c>
      <c r="G29" t="inlineStr">
        <is>
          <t>FAGERSTA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46324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44729</v>
      </c>
      <c r="E31" s="1" t="n">
        <v>46324</v>
      </c>
      <c r="F31" t="inlineStr">
        <is>
          <t>VÄSTMANLANDS LÄN</t>
        </is>
      </c>
      <c r="G31" t="inlineStr">
        <is>
          <t>FAGERSTA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46324</v>
      </c>
      <c r="F32" t="inlineStr">
        <is>
          <t>VÄSTMANLANDS LÄN</t>
        </is>
      </c>
      <c r="G32" t="inlineStr">
        <is>
          <t>FAGERSTA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46324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46324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46324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45627</v>
      </c>
      <c r="E36" s="1" t="n">
        <v>46324</v>
      </c>
      <c r="F36" t="inlineStr">
        <is>
          <t>VÄSTMANLANDS LÄN</t>
        </is>
      </c>
      <c r="G36" t="inlineStr">
        <is>
          <t>FAGERSTA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39157-2024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46324</v>
      </c>
      <c r="F37" t="inlineStr">
        <is>
          <t>VÄSTMANLANDS LÄN</t>
        </is>
      </c>
      <c r="G37" t="inlineStr">
        <is>
          <t>FAGERSTA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46324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46324</v>
      </c>
      <c r="F39" t="inlineStr">
        <is>
          <t>VÄSTMANLANDS LÄN</t>
        </is>
      </c>
      <c r="G39" t="inlineStr">
        <is>
          <t>FAGERSTA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26652-2025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46324</v>
      </c>
      <c r="F40" t="inlineStr">
        <is>
          <t>VÄSTMANLANDS LÄN</t>
        </is>
      </c>
      <c r="G40" t="inlineStr">
        <is>
          <t>FAGERSTA</t>
        </is>
      </c>
      <c r="H40" t="inlineStr">
        <is>
          <t>Bergvik skog väst AB</t>
        </is>
      </c>
      <c r="I40" t="n">
        <v>22.6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7380-2025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45705</v>
      </c>
      <c r="E41" s="1" t="n">
        <v>46324</v>
      </c>
      <c r="F41" t="inlineStr">
        <is>
          <t>VÄSTMANLANDS LÄN</t>
        </is>
      </c>
      <c r="G41" t="inlineStr">
        <is>
          <t>FAGERSTA</t>
        </is>
      </c>
      <c r="H41" t="inlineStr">
        <is>
          <t>Bergvik skog väst AB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46324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13697-2025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45737</v>
      </c>
      <c r="E43" s="1" t="n">
        <v>46324</v>
      </c>
      <c r="F43" t="inlineStr">
        <is>
          <t>VÄSTMANLANDS LÄN</t>
        </is>
      </c>
      <c r="G43" t="inlineStr">
        <is>
          <t>FAGERSTA</t>
        </is>
      </c>
      <c r="H43" t="inlineStr">
        <is>
          <t>Bergvik skog väst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46324</v>
      </c>
      <c r="F44" t="inlineStr">
        <is>
          <t>VÄSTMANLANDS LÄN</t>
        </is>
      </c>
      <c r="G44" t="inlineStr">
        <is>
          <t>FAGERSTA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46324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46324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46324</v>
      </c>
      <c r="F47" t="inlineStr">
        <is>
          <t>VÄSTMANLANDS LÄN</t>
        </is>
      </c>
      <c r="G47" t="inlineStr">
        <is>
          <t>FAGERSTA</t>
        </is>
      </c>
      <c r="H47" t="inlineStr">
        <is>
          <t>Bergvik skog väst AB</t>
        </is>
      </c>
      <c r="I47" t="n">
        <v>10.1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46324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46324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46324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46324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45925</v>
      </c>
      <c r="E52" s="1" t="n">
        <v>46324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34374-2025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45846</v>
      </c>
      <c r="E53" s="1" t="n">
        <v>46324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28425-2025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46324</v>
      </c>
      <c r="F54" t="inlineStr">
        <is>
          <t>VÄSTMANLANDS LÄN</t>
        </is>
      </c>
      <c r="G54" t="inlineStr">
        <is>
          <t>FAGERSTA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46324</v>
      </c>
      <c r="F55" t="inlineStr">
        <is>
          <t>VÄSTMANLANDS LÄN</t>
        </is>
      </c>
      <c r="G55" t="inlineStr">
        <is>
          <t>FAGERSTA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46324</v>
      </c>
      <c r="F56" t="inlineStr">
        <is>
          <t>VÄSTMANLANDS LÄN</t>
        </is>
      </c>
      <c r="G56" t="inlineStr">
        <is>
          <t>FAGERSTA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46324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45771</v>
      </c>
      <c r="E58" s="1" t="n">
        <v>46324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44998</v>
      </c>
      <c r="E59" s="1" t="n">
        <v>46324</v>
      </c>
      <c r="F59" t="inlineStr">
        <is>
          <t>VÄSTMANLANDS LÄN</t>
        </is>
      </c>
      <c r="G59" t="inlineStr">
        <is>
          <t>FAGERSTA</t>
        </is>
      </c>
      <c r="H59" t="inlineStr">
        <is>
          <t>Övriga Aktiebolag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37955-2023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45160</v>
      </c>
      <c r="E60" s="1" t="n">
        <v>46324</v>
      </c>
      <c r="F60" t="inlineStr">
        <is>
          <t>VÄSTMANLANDS LÄN</t>
        </is>
      </c>
      <c r="G60" t="inlineStr">
        <is>
          <t>FAGERSTA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45748</v>
      </c>
      <c r="E61" s="1" t="n">
        <v>46324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45071</v>
      </c>
      <c r="E62" s="1" t="n">
        <v>46324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21891-2026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46150</v>
      </c>
      <c r="E63" s="1" t="n">
        <v>46324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21888-2026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46324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21889-2026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46324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46324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41644-2025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45902</v>
      </c>
      <c r="E67" s="1" t="n">
        <v>46324</v>
      </c>
      <c r="F67" t="inlineStr">
        <is>
          <t>VÄSTMANLANDS LÄN</t>
        </is>
      </c>
      <c r="G67" t="inlineStr">
        <is>
          <t>FAGERSTA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45627</v>
      </c>
      <c r="E68" s="1" t="n">
        <v>46324</v>
      </c>
      <c r="F68" t="inlineStr">
        <is>
          <t>VÄSTMANLANDS LÄN</t>
        </is>
      </c>
      <c r="G68" t="inlineStr">
        <is>
          <t>FAGERSTA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45503</v>
      </c>
      <c r="E69" s="1" t="n">
        <v>46324</v>
      </c>
      <c r="F69" t="inlineStr">
        <is>
          <t>VÄSTMANLANDS LÄN</t>
        </is>
      </c>
      <c r="G69" t="inlineStr">
        <is>
          <t>FAGERSTA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46324</v>
      </c>
      <c r="F70" t="inlineStr">
        <is>
          <t>VÄSTMANLANDS LÄN</t>
        </is>
      </c>
      <c r="G70" t="inlineStr">
        <is>
          <t>FAGERSTA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20909-2024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45439</v>
      </c>
      <c r="E71" s="1" t="n">
        <v>46324</v>
      </c>
      <c r="F71" t="inlineStr">
        <is>
          <t>VÄSTMANLANDS LÄN</t>
        </is>
      </c>
      <c r="G71" t="inlineStr">
        <is>
          <t>FAGERSTA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46324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46324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45193</v>
      </c>
      <c r="E74" s="1" t="n">
        <v>46324</v>
      </c>
      <c r="F74" t="inlineStr">
        <is>
          <t>VÄSTMANLANDS LÄN</t>
        </is>
      </c>
      <c r="G74" t="inlineStr">
        <is>
          <t>FAGERSTA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46324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46324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45125</v>
      </c>
      <c r="E77" s="1" t="n">
        <v>46324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46324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46324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46324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46324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45995</v>
      </c>
      <c r="E82" s="1" t="n">
        <v>46324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46324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19.5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46324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46324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46324</v>
      </c>
      <c r="F86" t="inlineStr">
        <is>
          <t>VÄSTMANLANDS LÄN</t>
        </is>
      </c>
      <c r="G86" t="inlineStr">
        <is>
          <t>FAGERSTA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46324</v>
      </c>
      <c r="F87" t="inlineStr">
        <is>
          <t>VÄSTMANLANDS LÄN</t>
        </is>
      </c>
      <c r="G87" t="inlineStr">
        <is>
          <t>FAGERSTA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46324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46324</v>
      </c>
      <c r="F89" t="inlineStr">
        <is>
          <t>VÄSTMANLANDS LÄN</t>
        </is>
      </c>
      <c r="G89" t="inlineStr">
        <is>
          <t>FAGERSTA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31014-2026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46324</v>
      </c>
      <c r="F90" t="inlineStr">
        <is>
          <t>VÄSTMANLANDS LÄN</t>
        </is>
      </c>
      <c r="G90" t="inlineStr">
        <is>
          <t>FAGERSTA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46324</v>
      </c>
      <c r="F91" t="inlineStr">
        <is>
          <t>VÄSTMANLANDS LÄN</t>
        </is>
      </c>
      <c r="G91" t="inlineStr">
        <is>
          <t>FAGERSTA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44998</v>
      </c>
      <c r="E92" s="1" t="n">
        <v>46324</v>
      </c>
      <c r="F92" t="inlineStr">
        <is>
          <t>VÄSTMANLANDS LÄN</t>
        </is>
      </c>
      <c r="G92" t="inlineStr">
        <is>
          <t>FAGERSTA</t>
        </is>
      </c>
      <c r="H92" t="inlineStr">
        <is>
          <t>Övriga Aktiebolag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46324</v>
      </c>
      <c r="F93" t="inlineStr">
        <is>
          <t>VÄSTMANLANDS LÄN</t>
        </is>
      </c>
      <c r="G93" t="inlineStr">
        <is>
          <t>FAGERSTA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45785</v>
      </c>
      <c r="E94" s="1" t="n">
        <v>46324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45785</v>
      </c>
      <c r="E95" s="1" t="n">
        <v>46324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46324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45627</v>
      </c>
      <c r="E97" s="1" t="n">
        <v>46324</v>
      </c>
      <c r="F97" t="inlineStr">
        <is>
          <t>VÄSTMANLANDS LÄN</t>
        </is>
      </c>
      <c r="G97" t="inlineStr">
        <is>
          <t>FAGERSTA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31482-2026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46324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46122</v>
      </c>
      <c r="E99" s="1" t="n">
        <v>46324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46324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46324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46324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46324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19825-2026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46135</v>
      </c>
      <c r="E104" s="1" t="n">
        <v>46324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46324</v>
      </c>
      <c r="F105" t="inlineStr">
        <is>
          <t>VÄSTMANLANDS LÄN</t>
        </is>
      </c>
      <c r="G105" t="inlineStr">
        <is>
          <t>FAGERSTA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46324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46324</v>
      </c>
      <c r="F107" t="inlineStr">
        <is>
          <t>VÄSTMANLANDS LÄN</t>
        </is>
      </c>
      <c r="G107" t="inlineStr">
        <is>
          <t>FAGERSTA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46324</v>
      </c>
      <c r="F108" t="inlineStr">
        <is>
          <t>VÄSTMANLANDS LÄN</t>
        </is>
      </c>
      <c r="G108" t="inlineStr">
        <is>
          <t>FAGERSTA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46324</v>
      </c>
      <c r="F109" t="inlineStr">
        <is>
          <t>VÄSTMANLANDS LÄN</t>
        </is>
      </c>
      <c r="G109" t="inlineStr">
        <is>
          <t>FAGERSTA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46324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46324</v>
      </c>
      <c r="F111" t="inlineStr">
        <is>
          <t>VÄSTMANLANDS LÄN</t>
        </is>
      </c>
      <c r="G111" t="inlineStr">
        <is>
          <t>FAGERSTA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46287</v>
      </c>
      <c r="E112" s="1" t="n">
        <v>46324</v>
      </c>
      <c r="F112" t="inlineStr">
        <is>
          <t>VÄSTMANLANDS LÄN</t>
        </is>
      </c>
      <c r="G112" t="inlineStr">
        <is>
          <t>FAGERSTA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46324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20583-2026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46140</v>
      </c>
      <c r="E114" s="1" t="n">
        <v>46324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46324</v>
      </c>
      <c r="F115" t="inlineStr">
        <is>
          <t>VÄSTMANLANDS LÄN</t>
        </is>
      </c>
      <c r="G115" t="inlineStr">
        <is>
          <t>FAGERSTA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46324</v>
      </c>
      <c r="F116" t="inlineStr">
        <is>
          <t>VÄSTMANLANDS LÄN</t>
        </is>
      </c>
      <c r="G116" t="inlineStr">
        <is>
          <t>FAGERSTA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46324</v>
      </c>
      <c r="F117" t="inlineStr">
        <is>
          <t>VÄSTMANLANDS LÄN</t>
        </is>
      </c>
      <c r="G117" t="inlineStr">
        <is>
          <t>FAGERSTA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33193-2026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46246</v>
      </c>
      <c r="E118" s="1" t="n">
        <v>46324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46324</v>
      </c>
      <c r="F119" t="inlineStr">
        <is>
          <t>VÄSTMANLANDS LÄN</t>
        </is>
      </c>
      <c r="G119" t="inlineStr">
        <is>
          <t>FAGERSTA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44919</v>
      </c>
      <c r="E120" s="1" t="n">
        <v>46324</v>
      </c>
      <c r="F120" t="inlineStr">
        <is>
          <t>VÄSTMANLANDS LÄN</t>
        </is>
      </c>
      <c r="G120" t="inlineStr">
        <is>
          <t>FAGERSTA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34766-2026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46258</v>
      </c>
      <c r="E121" s="1" t="n">
        <v>46324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46324</v>
      </c>
      <c r="F122" t="inlineStr">
        <is>
          <t>VÄSTMANLANDS LÄN</t>
        </is>
      </c>
      <c r="G122" t="inlineStr">
        <is>
          <t>FAGERSTA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46268</v>
      </c>
      <c r="E123" s="1" t="n">
        <v>46324</v>
      </c>
      <c r="F123" t="inlineStr">
        <is>
          <t>VÄSTMANLANDS LÄN</t>
        </is>
      </c>
      <c r="G123" t="inlineStr">
        <is>
          <t>FAGERSTA</t>
        </is>
      </c>
      <c r="H123" t="inlineStr">
        <is>
          <t>Kommuner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37234-2026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46274</v>
      </c>
      <c r="E124" s="1" t="n">
        <v>46324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46324</v>
      </c>
      <c r="F125" t="inlineStr">
        <is>
          <t>VÄSTMANLANDS LÄN</t>
        </is>
      </c>
      <c r="G125" t="inlineStr">
        <is>
          <t>FAGERSTA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37235-2026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46274</v>
      </c>
      <c r="E126" s="1" t="n">
        <v>46324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43687-2026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46316</v>
      </c>
      <c r="E127" s="1" t="n">
        <v>46324</v>
      </c>
      <c r="F127" t="inlineStr">
        <is>
          <t>VÄSTMANLANDS LÄN</t>
        </is>
      </c>
      <c r="G127" t="inlineStr">
        <is>
          <t>FAGERSTA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37228-2026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46274</v>
      </c>
      <c r="E128" s="1" t="n">
        <v>46324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37231-2026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46274</v>
      </c>
      <c r="E129" s="1" t="n">
        <v>46324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46324</v>
      </c>
      <c r="F130" t="inlineStr">
        <is>
          <t>VÄSTMANLANDS LÄN</t>
        </is>
      </c>
      <c r="G130" t="inlineStr">
        <is>
          <t>FAGERSTA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46324</v>
      </c>
      <c r="F131" t="inlineStr">
        <is>
          <t>VÄSTMANLANDS LÄN</t>
        </is>
      </c>
      <c r="G131" t="inlineStr">
        <is>
          <t>FAGERSTA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2078-2025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45840</v>
      </c>
      <c r="E132" s="1" t="n">
        <v>46324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2080-2025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46324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2079-2025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46324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2121-2025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45846</v>
      </c>
      <c r="E135" s="1" t="n">
        <v>46324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3554-2025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46010</v>
      </c>
      <c r="E136" s="1" t="n">
        <v>46324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1073-2026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46128</v>
      </c>
      <c r="E137" s="1" t="n">
        <v>46324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1143-2026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46135</v>
      </c>
      <c r="E138" s="1" t="n">
        <v>46324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2213-2026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46258</v>
      </c>
      <c r="E139" s="1" t="n">
        <v>46324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>
      <c r="A140" t="inlineStr">
        <is>
          <t>S 2358-2026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46274</v>
      </c>
      <c r="E140" s="1" t="n">
        <v>46324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2026-10-29T03:11:44Z</dcterms:created>
  <dcterms:modified xmlns:dcterms="http://purl.org/dc/terms/" xmlns:xsi="http://www.w3.org/2001/XMLSchema-instance" xsi:type="dcterms:W3CDTF">2026-10-29T03:11:44Z</dcterms:modified>
</cp:coreProperties>
</file>