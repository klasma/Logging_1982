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46322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46322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46322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46322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46322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46322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46322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46322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46322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46322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29532-2022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44753</v>
      </c>
      <c r="E12" s="1" t="n">
        <v>46322</v>
      </c>
      <c r="F12" t="inlineStr">
        <is>
          <t>VÄSTMANLANDS LÄN</t>
        </is>
      </c>
      <c r="G12" t="inlineStr">
        <is>
          <t>FAGERSTA</t>
        </is>
      </c>
      <c r="I12" t="n">
        <v>4.7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Backruta
Hagfingersvamp</t>
        </is>
      </c>
      <c r="W12">
        <f>HYPERLINK("https://klasma.github.io/Logging_1982/artfynd/A 29532-2022 artfynd.xlsx", "A 29532-2022")</f>
        <v/>
      </c>
      <c r="X12">
        <f>HYPERLINK("https://klasma.github.io/Logging_1982/kartor/A 29532-2022 karta.png", "A 29532-2022")</f>
        <v/>
      </c>
      <c r="Y12">
        <f>HYPERLINK("https://klasma.github.io/Logging_1982/kartor_geotiff/A 29532-2022 georefererad karta.tif", "A 29532-2022")</f>
        <v/>
      </c>
      <c r="AA12">
        <f>HYPERLINK("https://klasma.github.io/Logging_1982/klagomål/A 29532-2022 FSC-klagomål.docx", "A 29532-2022")</f>
        <v/>
      </c>
      <c r="AB12">
        <f>HYPERLINK("https://klasma.github.io/Logging_1982/klagomålsmail/A 29532-2022 FSC-klagomål mail.docx", "A 29532-2022")</f>
        <v/>
      </c>
      <c r="AC12">
        <f>HYPERLINK("https://klasma.github.io/Logging_1982/tillsyn/A 29532-2022 tillsynsbegäran.docx", "A 29532-2022")</f>
        <v/>
      </c>
      <c r="AD12">
        <f>HYPERLINK("https://klasma.github.io/Logging_1982/tillsynsmail/A 29532-2022 tillsynsbegäran mail.docx", "A 29532-2022")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46322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46322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46322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3553-2026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46322</v>
      </c>
      <c r="F16" t="inlineStr">
        <is>
          <t>VÄSTMANLANDS LÄN</t>
        </is>
      </c>
      <c r="G16" t="inlineStr">
        <is>
          <t>FAGERSTA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HYPERLINK("https://klasma.github.io/Logging_1982/artfynd/A 3553-2026 artfynd.xlsx", "A 3553-2026")</f>
        <v/>
      </c>
      <c r="X16">
        <f>HYPERLINK("https://klasma.github.io/Logging_1982/kartor/A 3553-2026 karta.png", "A 3553-2026")</f>
        <v/>
      </c>
      <c r="Y16">
        <f>HYPERLINK("https://klasma.github.io/Logging_1982/kartor_geotiff/A 3553-2026 georefererad karta.tif", "A 3553-2026")</f>
        <v/>
      </c>
      <c r="AA16">
        <f>HYPERLINK("https://klasma.github.io/Logging_1982/klagomål/A 3553-2026 FSC-klagomål.docx", "A 3553-2026")</f>
        <v/>
      </c>
      <c r="AB16">
        <f>HYPERLINK("https://klasma.github.io/Logging_1982/klagomålsmail/A 3553-2026 FSC-klagomål mail.docx", "A 3553-2026")</f>
        <v/>
      </c>
      <c r="AC16">
        <f>HYPERLINK("https://klasma.github.io/Logging_1982/tillsyn/A 3553-2026 tillsynsbegäran.docx", "A 3553-2026")</f>
        <v/>
      </c>
      <c r="AD16">
        <f>HYPERLINK("https://klasma.github.io/Logging_1982/tillsynsmail/A 3553-2026 tillsynsbegäran mail.docx", "A 3553-2026")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46322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19550-2025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45770</v>
      </c>
      <c r="E18" s="1" t="n">
        <v>46322</v>
      </c>
      <c r="F18" t="inlineStr">
        <is>
          <t>VÄSTMANLANDS LÄN</t>
        </is>
      </c>
      <c r="G18" t="inlineStr">
        <is>
          <t>FAGERSTA</t>
        </is>
      </c>
      <c r="I18" t="n">
        <v>16.4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Fläcknycklar</t>
        </is>
      </c>
      <c r="W18">
        <f>HYPERLINK("https://klasma.github.io/Logging_1982/artfynd/A 19550-2025 artfynd.xlsx", "A 19550-2025")</f>
        <v/>
      </c>
      <c r="X18">
        <f>HYPERLINK("https://klasma.github.io/Logging_1982/kartor/A 19550-2025 karta.png", "A 19550-2025")</f>
        <v/>
      </c>
      <c r="Y18">
        <f>HYPERLINK("https://klasma.github.io/Logging_1982/kartor_geotiff/A 19550-2025 georefererad karta.tif", "A 19550-2025")</f>
        <v/>
      </c>
      <c r="AA18">
        <f>HYPERLINK("https://klasma.github.io/Logging_1982/klagomål/A 19550-2025 FSC-klagomål.docx", "A 19550-2025")</f>
        <v/>
      </c>
      <c r="AB18">
        <f>HYPERLINK("https://klasma.github.io/Logging_1982/klagomålsmail/A 19550-2025 FSC-klagomål mail.docx", "A 19550-2025")</f>
        <v/>
      </c>
      <c r="AC18">
        <f>HYPERLINK("https://klasma.github.io/Logging_1982/tillsyn/A 19550-2025 tillsynsbegäran.docx", "A 19550-2025")</f>
        <v/>
      </c>
      <c r="AD18">
        <f>HYPERLINK("https://klasma.github.io/Logging_1982/tillsynsmail/A 19550-2025 tillsynsbegäran mail.docx", "A 19550-2025")</f>
        <v/>
      </c>
    </row>
    <row r="19" ht="15" customHeight="1">
      <c r="A19" t="inlineStr">
        <is>
          <t>A 74421-2021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44533</v>
      </c>
      <c r="E19" s="1" t="n">
        <v>46322</v>
      </c>
      <c r="F19" t="inlineStr">
        <is>
          <t>VÄSTMANLANDS LÄN</t>
        </is>
      </c>
      <c r="G19" t="inlineStr">
        <is>
          <t>FAGERSTA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70012-2021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46322</v>
      </c>
      <c r="F20" t="inlineStr">
        <is>
          <t>VÄSTMANLANDS LÄN</t>
        </is>
      </c>
      <c r="G20" t="inlineStr">
        <is>
          <t>FAGERSTA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44586</v>
      </c>
      <c r="E21" s="1" t="n">
        <v>46322</v>
      </c>
      <c r="F21" t="inlineStr">
        <is>
          <t>VÄSTMANLANDS LÄN</t>
        </is>
      </c>
      <c r="G21" t="inlineStr">
        <is>
          <t>FAGERSTA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74356-2021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44559</v>
      </c>
      <c r="E22" s="1" t="n">
        <v>46322</v>
      </c>
      <c r="F22" t="inlineStr">
        <is>
          <t>VÄSTMANLANDS LÄN</t>
        </is>
      </c>
      <c r="G22" t="inlineStr">
        <is>
          <t>FAGERSTA</t>
        </is>
      </c>
      <c r="I22" t="n">
        <v>7.9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74423-2021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46322</v>
      </c>
      <c r="F23" t="inlineStr">
        <is>
          <t>VÄSTMANLANDS LÄN</t>
        </is>
      </c>
      <c r="G23" t="inlineStr">
        <is>
          <t>FAGERSTA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31831-2022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44776</v>
      </c>
      <c r="E24" s="1" t="n">
        <v>46322</v>
      </c>
      <c r="F24" t="inlineStr">
        <is>
          <t>VÄSTMANLANDS LÄN</t>
        </is>
      </c>
      <c r="G24" t="inlineStr">
        <is>
          <t>FAGERSTA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30868-2022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44767</v>
      </c>
      <c r="E25" s="1" t="n">
        <v>46322</v>
      </c>
      <c r="F25" t="inlineStr">
        <is>
          <t>VÄSTMANLANDS LÄN</t>
        </is>
      </c>
      <c r="G25" t="inlineStr">
        <is>
          <t>FAGERSTA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46322</v>
      </c>
      <c r="F26" t="inlineStr">
        <is>
          <t>VÄSTMANLANDS LÄN</t>
        </is>
      </c>
      <c r="G26" t="inlineStr">
        <is>
          <t>FAGERSTA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29510-2022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46322</v>
      </c>
      <c r="F27" t="inlineStr">
        <is>
          <t>VÄSTMANLANDS LÄN</t>
        </is>
      </c>
      <c r="G27" t="inlineStr">
        <is>
          <t>FAGERSTA</t>
        </is>
      </c>
      <c r="H27" t="inlineStr">
        <is>
          <t>Sveaskog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46322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46322</v>
      </c>
      <c r="F29" t="inlineStr">
        <is>
          <t>VÄSTMANLANDS LÄN</t>
        </is>
      </c>
      <c r="G29" t="inlineStr">
        <is>
          <t>FAGERSTA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51936-2022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44872</v>
      </c>
      <c r="E30" s="1" t="n">
        <v>46322</v>
      </c>
      <c r="F30" t="inlineStr">
        <is>
          <t>VÄSTMANLANDS LÄN</t>
        </is>
      </c>
      <c r="G30" t="inlineStr">
        <is>
          <t>FAGERSTA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25053-2022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44729</v>
      </c>
      <c r="E31" s="1" t="n">
        <v>46322</v>
      </c>
      <c r="F31" t="inlineStr">
        <is>
          <t>VÄSTMANLANDS LÄN</t>
        </is>
      </c>
      <c r="G31" t="inlineStr">
        <is>
          <t>FAGERSTA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46322</v>
      </c>
      <c r="F32" t="inlineStr">
        <is>
          <t>VÄSTMANLANDS LÄN</t>
        </is>
      </c>
      <c r="G32" t="inlineStr">
        <is>
          <t>FAGERSTA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46322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46322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46322</v>
      </c>
      <c r="F35" t="inlineStr">
        <is>
          <t>VÄSTMANLANDS LÄN</t>
        </is>
      </c>
      <c r="G35" t="inlineStr">
        <is>
          <t>FAGERSTA</t>
        </is>
      </c>
      <c r="I35" t="n">
        <v>4.3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33007-2023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45125</v>
      </c>
      <c r="E36" s="1" t="n">
        <v>46322</v>
      </c>
      <c r="F36" t="inlineStr">
        <is>
          <t>VÄSTMANLANDS LÄN</t>
        </is>
      </c>
      <c r="G36" t="inlineStr">
        <is>
          <t>FAGERSTA</t>
        </is>
      </c>
      <c r="H36" t="inlineStr">
        <is>
          <t>Sveaskog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48261-2022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46322</v>
      </c>
      <c r="F37" t="inlineStr">
        <is>
          <t>VÄSTMANLANDS LÄN</t>
        </is>
      </c>
      <c r="G37" t="inlineStr">
        <is>
          <t>FAGERSTA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45627</v>
      </c>
      <c r="E38" s="1" t="n">
        <v>46322</v>
      </c>
      <c r="F38" t="inlineStr">
        <is>
          <t>VÄSTMANLANDS LÄN</t>
        </is>
      </c>
      <c r="G38" t="inlineStr">
        <is>
          <t>FAGERSTA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46322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46322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45925</v>
      </c>
      <c r="E41" s="1" t="n">
        <v>46322</v>
      </c>
      <c r="F41" t="inlineStr">
        <is>
          <t>VÄSTMANLANDS LÄN</t>
        </is>
      </c>
      <c r="G41" t="inlineStr">
        <is>
          <t>FAGERSTA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46322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8264-2023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46322</v>
      </c>
      <c r="F43" t="inlineStr">
        <is>
          <t>VÄSTMANLANDS LÄN</t>
        </is>
      </c>
      <c r="G43" t="inlineStr">
        <is>
          <t>FAGERSTA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46322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44739</v>
      </c>
      <c r="E45" s="1" t="n">
        <v>46322</v>
      </c>
      <c r="F45" t="inlineStr">
        <is>
          <t>VÄSTMANLANDS LÄN</t>
        </is>
      </c>
      <c r="G45" t="inlineStr">
        <is>
          <t>FAGERSTA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46322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46322</v>
      </c>
      <c r="F47" t="inlineStr">
        <is>
          <t>VÄSTMANLANDS LÄN</t>
        </is>
      </c>
      <c r="G47" t="inlineStr">
        <is>
          <t>FAGERSTA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12121-2023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44998</v>
      </c>
      <c r="E48" s="1" t="n">
        <v>46322</v>
      </c>
      <c r="F48" t="inlineStr">
        <is>
          <t>VÄSTMANLANDS LÄN</t>
        </is>
      </c>
      <c r="G48" t="inlineStr">
        <is>
          <t>FAGERSTA</t>
        </is>
      </c>
      <c r="H48" t="inlineStr">
        <is>
          <t>Övriga Aktiebolag</t>
        </is>
      </c>
      <c r="I48" t="n">
        <v>6.9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30813-2022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44764</v>
      </c>
      <c r="E49" s="1" t="n">
        <v>46322</v>
      </c>
      <c r="F49" t="inlineStr">
        <is>
          <t>VÄSTMANLANDS LÄN</t>
        </is>
      </c>
      <c r="G49" t="inlineStr">
        <is>
          <t>FAGERSTA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22117-2025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45785</v>
      </c>
      <c r="E50" s="1" t="n">
        <v>46322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45785</v>
      </c>
      <c r="E51" s="1" t="n">
        <v>46322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18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45627</v>
      </c>
      <c r="E52" s="1" t="n">
        <v>46322</v>
      </c>
      <c r="F52" t="inlineStr">
        <is>
          <t>VÄSTMANLANDS LÄN</t>
        </is>
      </c>
      <c r="G52" t="inlineStr">
        <is>
          <t>FAGERSTA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49311-2022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46322</v>
      </c>
      <c r="F53" t="inlineStr">
        <is>
          <t>VÄSTMANLANDS LÄN</t>
        </is>
      </c>
      <c r="G53" t="inlineStr">
        <is>
          <t>FAGERSTA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45635</v>
      </c>
      <c r="E54" s="1" t="n">
        <v>46322</v>
      </c>
      <c r="F54" t="inlineStr">
        <is>
          <t>VÄSTMANLANDS LÄN</t>
        </is>
      </c>
      <c r="G54" t="inlineStr">
        <is>
          <t>FAGERSTA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39157-2024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45548</v>
      </c>
      <c r="E55" s="1" t="n">
        <v>46322</v>
      </c>
      <c r="F55" t="inlineStr">
        <is>
          <t>VÄSTMANLANDS LÄN</t>
        </is>
      </c>
      <c r="G55" t="inlineStr">
        <is>
          <t>FAGERSTA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22323-2024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46322</v>
      </c>
      <c r="F56" t="inlineStr">
        <is>
          <t>VÄSTMANLANDS LÄN</t>
        </is>
      </c>
      <c r="G56" t="inlineStr">
        <is>
          <t>FAGERSTA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45810</v>
      </c>
      <c r="E57" s="1" t="n">
        <v>46322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22.6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63305-2025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46010</v>
      </c>
      <c r="E58" s="1" t="n">
        <v>46322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42844-2024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46322</v>
      </c>
      <c r="F59" t="inlineStr">
        <is>
          <t>VÄSTMANLANDS LÄN</t>
        </is>
      </c>
      <c r="G59" t="inlineStr">
        <is>
          <t>FAGERSTA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22590-2025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45789</v>
      </c>
      <c r="E60" s="1" t="n">
        <v>46322</v>
      </c>
      <c r="F60" t="inlineStr">
        <is>
          <t>VÄSTMANLANDS LÄN</t>
        </is>
      </c>
      <c r="G60" t="inlineStr">
        <is>
          <t>FAGERSTA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45635</v>
      </c>
      <c r="E61" s="1" t="n">
        <v>46322</v>
      </c>
      <c r="F61" t="inlineStr">
        <is>
          <t>VÄSTMANLANDS LÄN</t>
        </is>
      </c>
      <c r="G61" t="inlineStr">
        <is>
          <t>FAGERSTA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33236-2025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45840</v>
      </c>
      <c r="E62" s="1" t="n">
        <v>46322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44919</v>
      </c>
      <c r="E63" s="1" t="n">
        <v>46322</v>
      </c>
      <c r="F63" t="inlineStr">
        <is>
          <t>VÄSTMANLANDS LÄN</t>
        </is>
      </c>
      <c r="G63" t="inlineStr">
        <is>
          <t>FAGERSTA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33232-2025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45840</v>
      </c>
      <c r="E64" s="1" t="n">
        <v>46322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33238-2025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45840</v>
      </c>
      <c r="E65" s="1" t="n">
        <v>46322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34374-2025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45846</v>
      </c>
      <c r="E66" s="1" t="n">
        <v>46322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28425-2025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45819</v>
      </c>
      <c r="E67" s="1" t="n">
        <v>46322</v>
      </c>
      <c r="F67" t="inlineStr">
        <is>
          <t>VÄSTMANLANDS LÄN</t>
        </is>
      </c>
      <c r="G67" t="inlineStr">
        <is>
          <t>FAGERSTA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46322</v>
      </c>
      <c r="F68" t="inlineStr">
        <is>
          <t>VÄSTMANLANDS LÄN</t>
        </is>
      </c>
      <c r="G68" t="inlineStr">
        <is>
          <t>FAGERSTA</t>
        </is>
      </c>
      <c r="H68" t="inlineStr">
        <is>
          <t>Kommuner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32249-2022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44781</v>
      </c>
      <c r="E69" s="1" t="n">
        <v>46322</v>
      </c>
      <c r="F69" t="inlineStr">
        <is>
          <t>VÄSTMANLANDS LÄN</t>
        </is>
      </c>
      <c r="G69" t="inlineStr">
        <is>
          <t>FAGERSTA</t>
        </is>
      </c>
      <c r="H69" t="inlineStr">
        <is>
          <t>Kommuner</t>
        </is>
      </c>
      <c r="I69" t="n">
        <v>22.9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28249-2022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46322</v>
      </c>
      <c r="F70" t="inlineStr">
        <is>
          <t>VÄSTMANLANDS LÄN</t>
        </is>
      </c>
      <c r="G70" t="inlineStr">
        <is>
          <t>FAGERSTA</t>
        </is>
      </c>
      <c r="H70" t="inlineStr">
        <is>
          <t>Kommuner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46322</v>
      </c>
      <c r="F71" t="inlineStr">
        <is>
          <t>VÄSTMANLANDS LÄN</t>
        </is>
      </c>
      <c r="G71" t="inlineStr">
        <is>
          <t>FAGERSTA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60374-2025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45995</v>
      </c>
      <c r="E72" s="1" t="n">
        <v>46322</v>
      </c>
      <c r="F72" t="inlineStr">
        <is>
          <t>VÄSTMANLANDS LÄN</t>
        </is>
      </c>
      <c r="G72" t="inlineStr">
        <is>
          <t>FAGERSTA</t>
        </is>
      </c>
      <c r="H72" t="inlineStr">
        <is>
          <t>Kommuner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31014-2026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46213</v>
      </c>
      <c r="E73" s="1" t="n">
        <v>46322</v>
      </c>
      <c r="F73" t="inlineStr">
        <is>
          <t>VÄSTMANLANDS LÄN</t>
        </is>
      </c>
      <c r="G73" t="inlineStr">
        <is>
          <t>FAGERSTA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10520-2026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46077</v>
      </c>
      <c r="E74" s="1" t="n">
        <v>46322</v>
      </c>
      <c r="F74" t="inlineStr">
        <is>
          <t>VÄSTMANLANDS LÄN</t>
        </is>
      </c>
      <c r="G74" t="inlineStr">
        <is>
          <t>FAGERSTA</t>
        </is>
      </c>
      <c r="H74" t="inlineStr">
        <is>
          <t>Bergvik skog väst AB</t>
        </is>
      </c>
      <c r="I74" t="n">
        <v>19.5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46078</v>
      </c>
      <c r="E75" s="1" t="n">
        <v>46322</v>
      </c>
      <c r="F75" t="inlineStr">
        <is>
          <t>VÄSTMANLANDS LÄN</t>
        </is>
      </c>
      <c r="G75" t="inlineStr">
        <is>
          <t>FAGERSTA</t>
        </is>
      </c>
      <c r="H75" t="inlineStr">
        <is>
          <t>Bergvik skog väst AB</t>
        </is>
      </c>
      <c r="I75" t="n">
        <v>18.6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10526-2026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46077</v>
      </c>
      <c r="E76" s="1" t="n">
        <v>46322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46223</v>
      </c>
      <c r="E77" s="1" t="n">
        <v>46322</v>
      </c>
      <c r="F77" t="inlineStr">
        <is>
          <t>VÄSTMANLANDS LÄN</t>
        </is>
      </c>
      <c r="G77" t="inlineStr">
        <is>
          <t>FAGERSTA</t>
        </is>
      </c>
      <c r="H77" t="inlineStr">
        <is>
          <t>Övriga Aktiebolag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51586-2023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45222</v>
      </c>
      <c r="E78" s="1" t="n">
        <v>46322</v>
      </c>
      <c r="F78" t="inlineStr">
        <is>
          <t>VÄSTMANLANDS LÄN</t>
        </is>
      </c>
      <c r="G78" t="inlineStr">
        <is>
          <t>FAGERSTA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13079-2026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46322</v>
      </c>
      <c r="F79" t="inlineStr">
        <is>
          <t>VÄSTMANLANDS LÄN</t>
        </is>
      </c>
      <c r="G79" t="inlineStr">
        <is>
          <t>FAGERSTA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45247</v>
      </c>
      <c r="E80" s="1" t="n">
        <v>46322</v>
      </c>
      <c r="F80" t="inlineStr">
        <is>
          <t>VÄSTMANLANDS LÄN</t>
        </is>
      </c>
      <c r="G80" t="inlineStr">
        <is>
          <t>FAGERSTA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46122</v>
      </c>
      <c r="E81" s="1" t="n">
        <v>46322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32433-2026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46239</v>
      </c>
      <c r="E82" s="1" t="n">
        <v>46322</v>
      </c>
      <c r="F82" t="inlineStr">
        <is>
          <t>VÄSTMANLANDS LÄN</t>
        </is>
      </c>
      <c r="G82" t="inlineStr">
        <is>
          <t>FAGERSTA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17893-2026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46122</v>
      </c>
      <c r="E83" s="1" t="n">
        <v>46322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18782-2026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46322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18781-2026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46128</v>
      </c>
      <c r="E85" s="1" t="n">
        <v>46322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8.699999999999999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18783-2026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46128</v>
      </c>
      <c r="E86" s="1" t="n">
        <v>46322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63480-2023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46322</v>
      </c>
      <c r="F87" t="inlineStr">
        <is>
          <t>VÄSTMANLANDS LÄN</t>
        </is>
      </c>
      <c r="G87" t="inlineStr">
        <is>
          <t>FAGERSTA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46134</v>
      </c>
      <c r="E88" s="1" t="n">
        <v>46322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19825-2026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46135</v>
      </c>
      <c r="E89" s="1" t="n">
        <v>46322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46134</v>
      </c>
      <c r="E90" s="1" t="n">
        <v>46322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46286</v>
      </c>
      <c r="E91" s="1" t="n">
        <v>46322</v>
      </c>
      <c r="F91" t="inlineStr">
        <is>
          <t>VÄSTMANLANDS LÄN</t>
        </is>
      </c>
      <c r="G91" t="inlineStr">
        <is>
          <t>FAGERSTA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45627</v>
      </c>
      <c r="E92" s="1" t="n">
        <v>46322</v>
      </c>
      <c r="F92" t="inlineStr">
        <is>
          <t>VÄSTMANLANDS LÄN</t>
        </is>
      </c>
      <c r="G92" t="inlineStr">
        <is>
          <t>FAGERSTA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33322-2026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46246</v>
      </c>
      <c r="E93" s="1" t="n">
        <v>46322</v>
      </c>
      <c r="F93" t="inlineStr">
        <is>
          <t>VÄSTMANLANDS LÄN</t>
        </is>
      </c>
      <c r="G93" t="inlineStr">
        <is>
          <t>FAGERSTA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46246</v>
      </c>
      <c r="E94" s="1" t="n">
        <v>46322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45821</v>
      </c>
      <c r="E95" s="1" t="n">
        <v>46322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39234-2026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46287</v>
      </c>
      <c r="E96" s="1" t="n">
        <v>46322</v>
      </c>
      <c r="F96" t="inlineStr">
        <is>
          <t>VÄSTMANLANDS LÄN</t>
        </is>
      </c>
      <c r="G96" t="inlineStr">
        <is>
          <t>FAGERSTA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20583-2026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46140</v>
      </c>
      <c r="E97" s="1" t="n">
        <v>46322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13391-2026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46322</v>
      </c>
      <c r="F98" t="inlineStr">
        <is>
          <t>VÄSTMANLANDS LÄN</t>
        </is>
      </c>
      <c r="G98" t="inlineStr">
        <is>
          <t>FAGERSTA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7380-2025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45705</v>
      </c>
      <c r="E99" s="1" t="n">
        <v>46322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10820-2025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45722</v>
      </c>
      <c r="E100" s="1" t="n">
        <v>46322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46289</v>
      </c>
      <c r="E101" s="1" t="n">
        <v>46322</v>
      </c>
      <c r="F101" t="inlineStr">
        <is>
          <t>VÄSTMANLANDS LÄN</t>
        </is>
      </c>
      <c r="G101" t="inlineStr">
        <is>
          <t>FAGERSTA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13697-2025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45737</v>
      </c>
      <c r="E102" s="1" t="n">
        <v>46322</v>
      </c>
      <c r="F102" t="inlineStr">
        <is>
          <t>VÄSTMANLANDS LÄN</t>
        </is>
      </c>
      <c r="G102" t="inlineStr">
        <is>
          <t>FAGERSTA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21891-2026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46150</v>
      </c>
      <c r="E103" s="1" t="n">
        <v>46322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11.8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46150</v>
      </c>
      <c r="E104" s="1" t="n">
        <v>46322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21889-2026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46322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46322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45902</v>
      </c>
      <c r="E107" s="1" t="n">
        <v>46322</v>
      </c>
      <c r="F107" t="inlineStr">
        <is>
          <t>VÄSTMANLANDS LÄN</t>
        </is>
      </c>
      <c r="G107" t="inlineStr">
        <is>
          <t>FAGERSTA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19156-2025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46322</v>
      </c>
      <c r="F108" t="inlineStr">
        <is>
          <t>VÄSTMANLANDS LÄN</t>
        </is>
      </c>
      <c r="G108" t="inlineStr">
        <is>
          <t>FAGERSTA</t>
        </is>
      </c>
      <c r="H108" t="inlineStr">
        <is>
          <t>Bergvik skog väst AB</t>
        </is>
      </c>
      <c r="I108" t="n">
        <v>10.1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46322</v>
      </c>
      <c r="F109" t="inlineStr">
        <is>
          <t>VÄSTMANLANDS LÄN</t>
        </is>
      </c>
      <c r="G109" t="inlineStr">
        <is>
          <t>FAGERSTA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46164</v>
      </c>
      <c r="E110" s="1" t="n">
        <v>46322</v>
      </c>
      <c r="F110" t="inlineStr">
        <is>
          <t>VÄSTMANLANDS LÄN</t>
        </is>
      </c>
      <c r="G110" t="inlineStr">
        <is>
          <t>FAGERSTA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21679-2024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45442</v>
      </c>
      <c r="E111" s="1" t="n">
        <v>46322</v>
      </c>
      <c r="F111" t="inlineStr">
        <is>
          <t>VÄSTMANLANDS LÄN</t>
        </is>
      </c>
      <c r="G111" t="inlineStr">
        <is>
          <t>FAGERSTA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33193-2026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46322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44953</v>
      </c>
      <c r="E113" s="1" t="n">
        <v>46322</v>
      </c>
      <c r="F113" t="inlineStr">
        <is>
          <t>VÄSTMANLANDS LÄN</t>
        </is>
      </c>
      <c r="G113" t="inlineStr">
        <is>
          <t>FAGERSTA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46322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12125-2023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46322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26057-2026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46322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45160</v>
      </c>
      <c r="E117" s="1" t="n">
        <v>46322</v>
      </c>
      <c r="F117" t="inlineStr">
        <is>
          <t>VÄSTMANLANDS LÄN</t>
        </is>
      </c>
      <c r="G117" t="inlineStr">
        <is>
          <t>FAGERSTA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15812-2025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45748</v>
      </c>
      <c r="E118" s="1" t="n">
        <v>46322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45071</v>
      </c>
      <c r="E119" s="1" t="n">
        <v>46322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34766-2026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46258</v>
      </c>
      <c r="E120" s="1" t="n">
        <v>46322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45627</v>
      </c>
      <c r="E121" s="1" t="n">
        <v>46322</v>
      </c>
      <c r="F121" t="inlineStr">
        <is>
          <t>VÄSTMANLANDS LÄN</t>
        </is>
      </c>
      <c r="G121" t="inlineStr">
        <is>
          <t>FAGERSTA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45503</v>
      </c>
      <c r="E122" s="1" t="n">
        <v>46322</v>
      </c>
      <c r="F122" t="inlineStr">
        <is>
          <t>VÄSTMANLANDS LÄN</t>
        </is>
      </c>
      <c r="G122" t="inlineStr">
        <is>
          <t>FAGERSTA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45439</v>
      </c>
      <c r="E123" s="1" t="n">
        <v>46322</v>
      </c>
      <c r="F123" t="inlineStr">
        <is>
          <t>VÄSTMANLANDS LÄN</t>
        </is>
      </c>
      <c r="G123" t="inlineStr">
        <is>
          <t>FAGERSTA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45390-2023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45193</v>
      </c>
      <c r="E124" s="1" t="n">
        <v>46322</v>
      </c>
      <c r="F124" t="inlineStr">
        <is>
          <t>VÄSTMANLANDS LÄN</t>
        </is>
      </c>
      <c r="G124" t="inlineStr">
        <is>
          <t>FAGERSTA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46268</v>
      </c>
      <c r="E125" s="1" t="n">
        <v>46322</v>
      </c>
      <c r="F125" t="inlineStr">
        <is>
          <t>VÄSTMANLANDS LÄN</t>
        </is>
      </c>
      <c r="G125" t="inlineStr">
        <is>
          <t>FAGERSTA</t>
        </is>
      </c>
      <c r="H125" t="inlineStr">
        <is>
          <t>Kommuner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37234-2026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46274</v>
      </c>
      <c r="E126" s="1" t="n">
        <v>46322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37235-2026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46274</v>
      </c>
      <c r="E127" s="1" t="n">
        <v>46322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43687-2026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46316</v>
      </c>
      <c r="E128" s="1" t="n">
        <v>46322</v>
      </c>
      <c r="F128" t="inlineStr">
        <is>
          <t>VÄSTMANLANDS LÄN</t>
        </is>
      </c>
      <c r="G128" t="inlineStr">
        <is>
          <t>FAGERSTA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37228-2026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46274</v>
      </c>
      <c r="E129" s="1" t="n">
        <v>46322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37231-2026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46274</v>
      </c>
      <c r="E130" s="1" t="n">
        <v>46322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46322</v>
      </c>
      <c r="F131" t="inlineStr">
        <is>
          <t>VÄSTMANLANDS LÄN</t>
        </is>
      </c>
      <c r="G131" t="inlineStr">
        <is>
          <t>FAGERSTA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2078-2025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45840</v>
      </c>
      <c r="E132" s="1" t="n">
        <v>46322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2080-2025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46322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2079-2025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46322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2121-2025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45846</v>
      </c>
      <c r="E135" s="1" t="n">
        <v>46322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3554-2025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46010</v>
      </c>
      <c r="E136" s="1" t="n">
        <v>46322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1073-2026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46128</v>
      </c>
      <c r="E137" s="1" t="n">
        <v>46322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1143-2026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46135</v>
      </c>
      <c r="E138" s="1" t="n">
        <v>46322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2213-2026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46258</v>
      </c>
      <c r="E139" s="1" t="n">
        <v>46322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>
      <c r="A140" t="inlineStr">
        <is>
          <t>S 2358-2026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46274</v>
      </c>
      <c r="E140" s="1" t="n">
        <v>46322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2026-10-27T03:13:49Z</dcterms:created>
  <dcterms:modified xmlns:dcterms="http://purl.org/dc/terms/" xmlns:xsi="http://www.w3.org/2001/XMLSchema-instance" xsi:type="dcterms:W3CDTF">2026-10-27T03:13:49Z</dcterms:modified>
</cp:coreProperties>
</file>