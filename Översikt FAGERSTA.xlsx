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46311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46311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9956-2022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44621</v>
      </c>
      <c r="E12" s="1" t="n">
        <v>46311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Ögonpyrola
Fläcknycklar</t>
        </is>
      </c>
      <c r="W12">
        <f>HYPERLINK("https://klasma.github.io/Logging_1982/artfynd/A 9956-2022 artfynd.xlsx", "A 9956-2022")</f>
        <v/>
      </c>
      <c r="X12">
        <f>HYPERLINK("https://klasma.github.io/Logging_1982/kartor/A 9956-2022 karta.png", "A 9956-2022")</f>
        <v/>
      </c>
      <c r="Y12">
        <f>HYPERLINK("https://klasma.github.io/Logging_1982/kartor_geotiff/A 9956-2022 georefererad karta.tif", "A 9956-2022")</f>
        <v/>
      </c>
      <c r="AA12">
        <f>HYPERLINK("https://klasma.github.io/Logging_1982/klagomål/A 9956-2022 FSC-klagomål.docx", "A 9956-2022")</f>
        <v/>
      </c>
      <c r="AB12">
        <f>HYPERLINK("https://klasma.github.io/Logging_1982/klagomålsmail/A 9956-2022 FSC-klagomål mail.docx", "A 9956-2022")</f>
        <v/>
      </c>
      <c r="AC12">
        <f>HYPERLINK("https://klasma.github.io/Logging_1982/tillsyn/A 9956-2022 tillsynsbegäran.docx", "A 9956-2022")</f>
        <v/>
      </c>
      <c r="AD12">
        <f>HYPERLINK("https://klasma.github.io/Logging_1982/tillsynsmail/A 9956-2022 tillsynsbegäran mail.docx", "A 9956-2022")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46311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1683-2026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46034</v>
      </c>
      <c r="E14" s="1" t="n">
        <v>46311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29.2</v>
      </c>
      <c r="J14" t="n">
        <v>1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Skogsalm
Talltita</t>
        </is>
      </c>
      <c r="W14">
        <f>HYPERLINK("https://klasma.github.io/Logging_1982/artfynd/A 1683-2026 artfynd.xlsx", "A 1683-2026")</f>
        <v/>
      </c>
      <c r="X14">
        <f>HYPERLINK("https://klasma.github.io/Logging_1982/kartor/A 1683-2026 karta.png", "A 1683-2026")</f>
        <v/>
      </c>
      <c r="Y14">
        <f>HYPERLINK("https://klasma.github.io/Logging_1982/kartor_geotiff/A 1683-2026 georefererad karta.tif", "A 1683-2026")</f>
        <v/>
      </c>
      <c r="AA14">
        <f>HYPERLINK("https://klasma.github.io/Logging_1982/klagomål/A 1683-2026 FSC-klagomål.docx", "A 1683-2026")</f>
        <v/>
      </c>
      <c r="AB14">
        <f>HYPERLINK("https://klasma.github.io/Logging_1982/klagomålsmail/A 1683-2026 FSC-klagomål mail.docx", "A 1683-2026")</f>
        <v/>
      </c>
      <c r="AC14">
        <f>HYPERLINK("https://klasma.github.io/Logging_1982/tillsyn/A 1683-2026 tillsynsbegäran.docx", "A 1683-2026")</f>
        <v/>
      </c>
      <c r="AD14">
        <f>HYPERLINK("https://klasma.github.io/Logging_1982/tillsynsmail/A 1683-2026 tillsynsbegäran mail.docx", "A 1683-2026")</f>
        <v/>
      </c>
      <c r="AE14">
        <f>HYPERLINK("https://klasma.github.io/Logging_1982/fåglar/A 1683-2026 prioriterade fågelarter.docx", "A 1683-2026")</f>
        <v/>
      </c>
    </row>
    <row r="15" ht="15" customHeight="1">
      <c r="A15" t="inlineStr">
        <is>
          <t>A 3553-2026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46042</v>
      </c>
      <c r="E15" s="1" t="n">
        <v>46311</v>
      </c>
      <c r="F15" t="inlineStr">
        <is>
          <t>VÄSTMANLANDS LÄN</t>
        </is>
      </c>
      <c r="G15" t="inlineStr">
        <is>
          <t>FAGERSTA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HYPERLINK("https://klasma.github.io/Logging_1982/artfynd/A 3553-2026 artfynd.xlsx", "A 3553-2026")</f>
        <v/>
      </c>
      <c r="X15">
        <f>HYPERLINK("https://klasma.github.io/Logging_1982/kartor/A 3553-2026 karta.png", "A 3553-2026")</f>
        <v/>
      </c>
      <c r="Y15">
        <f>HYPERLINK("https://klasma.github.io/Logging_1982/kartor_geotiff/A 3553-2026 georefererad karta.tif", "A 3553-2026")</f>
        <v/>
      </c>
      <c r="AA15">
        <f>HYPERLINK("https://klasma.github.io/Logging_1982/klagomål/A 3553-2026 FSC-klagomål.docx", "A 3553-2026")</f>
        <v/>
      </c>
      <c r="AB15">
        <f>HYPERLINK("https://klasma.github.io/Logging_1982/klagomålsmail/A 3553-2026 FSC-klagomål mail.docx", "A 3553-2026")</f>
        <v/>
      </c>
      <c r="AC15">
        <f>HYPERLINK("https://klasma.github.io/Logging_1982/tillsyn/A 3553-2026 tillsynsbegäran.docx", "A 3553-2026")</f>
        <v/>
      </c>
      <c r="AD15">
        <f>HYPERLINK("https://klasma.github.io/Logging_1982/tillsynsmail/A 3553-2026 tillsynsbegäran mail.docx", "A 3553-2026")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46311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46311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Fläcknycklar</t>
        </is>
      </c>
      <c r="W17">
        <f>HYPERLINK("https://klasma.github.io/Logging_1982/artfynd/A 19550-2025 artfynd.xlsx", "A 19550-2025")</f>
        <v/>
      </c>
      <c r="X17">
        <f>HYPERLINK("https://klasma.github.io/Logging_1982/kartor/A 19550-2025 karta.png", "A 19550-2025")</f>
        <v/>
      </c>
      <c r="Y17">
        <f>HYPERLINK("https://klasma.github.io/Logging_1982/kartor_geotiff/A 19550-2025 georefererad karta.tif", "A 19550-2025")</f>
        <v/>
      </c>
      <c r="AA17">
        <f>HYPERLINK("https://klasma.github.io/Logging_1982/klagomål/A 19550-2025 FSC-klagomål.docx", "A 19550-2025")</f>
        <v/>
      </c>
      <c r="AB17">
        <f>HYPERLINK("https://klasma.github.io/Logging_1982/klagomålsmail/A 19550-2025 FSC-klagomål mail.docx", "A 19550-2025")</f>
        <v/>
      </c>
      <c r="AC17">
        <f>HYPERLINK("https://klasma.github.io/Logging_1982/tillsyn/A 19550-2025 tillsynsbegäran.docx", "A 19550-2025")</f>
        <v/>
      </c>
      <c r="AD17">
        <f>HYPERLINK("https://klasma.github.io/Logging_1982/tillsynsmail/A 19550-2025 tillsynsbegäran mail.docx", "A 19550-2025")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46311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46311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46311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46311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46311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46311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46311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46311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46311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46311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46311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46311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46311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46311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46311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46311</v>
      </c>
      <c r="F33" t="inlineStr">
        <is>
          <t>VÄSTMANLANDS LÄN</t>
        </is>
      </c>
      <c r="G33" t="inlineStr">
        <is>
          <t>FAGERSTA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69104-2021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46311</v>
      </c>
      <c r="F34" t="inlineStr">
        <is>
          <t>VÄSTMANLANDS LÄN</t>
        </is>
      </c>
      <c r="G34" t="inlineStr">
        <is>
          <t>FAGERSTA</t>
        </is>
      </c>
      <c r="H34" t="inlineStr">
        <is>
          <t>Kommuner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68174-2021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44526</v>
      </c>
      <c r="E35" s="1" t="n">
        <v>46311</v>
      </c>
      <c r="F35" t="inlineStr">
        <is>
          <t>VÄSTMANLANDS LÄN</t>
        </is>
      </c>
      <c r="G35" t="inlineStr">
        <is>
          <t>FAGERSTA</t>
        </is>
      </c>
      <c r="H35" t="inlineStr">
        <is>
          <t>Kyrkan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26652-2025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46311</v>
      </c>
      <c r="F36" t="inlineStr">
        <is>
          <t>VÄSTMANLANDS LÄN</t>
        </is>
      </c>
      <c r="G36" t="inlineStr">
        <is>
          <t>FAGERSTA</t>
        </is>
      </c>
      <c r="H36" t="inlineStr">
        <is>
          <t>Bergvik skog väst AB</t>
        </is>
      </c>
      <c r="I36" t="n">
        <v>22.6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46311</v>
      </c>
      <c r="F37" t="inlineStr">
        <is>
          <t>VÄSTMANLANDS LÄN</t>
        </is>
      </c>
      <c r="G37" t="inlineStr">
        <is>
          <t>FAGERSTA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33238-2025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45840</v>
      </c>
      <c r="E38" s="1" t="n">
        <v>46311</v>
      </c>
      <c r="F38" t="inlineStr">
        <is>
          <t>VÄSTMANLANDS LÄN</t>
        </is>
      </c>
      <c r="G38" t="inlineStr">
        <is>
          <t>FAGERSTA</t>
        </is>
      </c>
      <c r="H38" t="inlineStr">
        <is>
          <t>Sveaskog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33232-2025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45840</v>
      </c>
      <c r="E39" s="1" t="n">
        <v>46311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33236-2025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45840</v>
      </c>
      <c r="E40" s="1" t="n">
        <v>46311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45439</v>
      </c>
      <c r="E41" s="1" t="n">
        <v>46311</v>
      </c>
      <c r="F41" t="inlineStr">
        <is>
          <t>VÄSTMANLANDS LÄN</t>
        </is>
      </c>
      <c r="G41" t="inlineStr">
        <is>
          <t>FAGERSTA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54804-2023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46311</v>
      </c>
      <c r="F42" t="inlineStr">
        <is>
          <t>VÄSTMANLANDS LÄN</t>
        </is>
      </c>
      <c r="G42" t="inlineStr">
        <is>
          <t>FAGERSTA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34374-2025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45846</v>
      </c>
      <c r="E43" s="1" t="n">
        <v>46311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22323-2024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46311</v>
      </c>
      <c r="F44" t="inlineStr">
        <is>
          <t>VÄSTMANLANDS LÄN</t>
        </is>
      </c>
      <c r="G44" t="inlineStr">
        <is>
          <t>FAGERSTA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45819</v>
      </c>
      <c r="E45" s="1" t="n">
        <v>46311</v>
      </c>
      <c r="F45" t="inlineStr">
        <is>
          <t>VÄSTMANLANDS LÄN</t>
        </is>
      </c>
      <c r="G45" t="inlineStr">
        <is>
          <t>FAGERSTA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57855-2023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46311</v>
      </c>
      <c r="F46" t="inlineStr">
        <is>
          <t>VÄSTMANLANDS LÄN</t>
        </is>
      </c>
      <c r="G46" t="inlineStr">
        <is>
          <t>FAGERSTA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44919</v>
      </c>
      <c r="E47" s="1" t="n">
        <v>46311</v>
      </c>
      <c r="F47" t="inlineStr">
        <is>
          <t>VÄSTMANLANDS LÄN</t>
        </is>
      </c>
      <c r="G47" t="inlineStr">
        <is>
          <t>FAGERSTA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48261-2022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46311</v>
      </c>
      <c r="F48" t="inlineStr">
        <is>
          <t>VÄSTMANLANDS LÄN</t>
        </is>
      </c>
      <c r="G48" t="inlineStr">
        <is>
          <t>FAGERSTA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46311</v>
      </c>
      <c r="F49" t="inlineStr">
        <is>
          <t>VÄSTMANLANDS LÄN</t>
        </is>
      </c>
      <c r="G49" t="inlineStr">
        <is>
          <t>FAGERSTA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45442</v>
      </c>
      <c r="E50" s="1" t="n">
        <v>46311</v>
      </c>
      <c r="F50" t="inlineStr">
        <is>
          <t>VÄSTMANLANDS LÄN</t>
        </is>
      </c>
      <c r="G50" t="inlineStr">
        <is>
          <t>FAGERSTA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33007-2023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45125</v>
      </c>
      <c r="E51" s="1" t="n">
        <v>46311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56694-2024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45627</v>
      </c>
      <c r="E52" s="1" t="n">
        <v>46311</v>
      </c>
      <c r="F52" t="inlineStr">
        <is>
          <t>VÄSTMANLANDS LÄN</t>
        </is>
      </c>
      <c r="G52" t="inlineStr">
        <is>
          <t>FAGERSTA</t>
        </is>
      </c>
      <c r="I52" t="n">
        <v>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46122</v>
      </c>
      <c r="E53" s="1" t="n">
        <v>46311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46311</v>
      </c>
      <c r="F54" t="inlineStr">
        <is>
          <t>VÄSTMANLANDS LÄN</t>
        </is>
      </c>
      <c r="G54" t="inlineStr">
        <is>
          <t>FAGERSTA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19888-2025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45771</v>
      </c>
      <c r="E55" s="1" t="n">
        <v>46311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46311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18781-2026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46311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18783-2026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46128</v>
      </c>
      <c r="E58" s="1" t="n">
        <v>46311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45160</v>
      </c>
      <c r="E59" s="1" t="n">
        <v>46311</v>
      </c>
      <c r="F59" t="inlineStr">
        <is>
          <t>VÄSTMANLANDS LÄN</t>
        </is>
      </c>
      <c r="G59" t="inlineStr">
        <is>
          <t>FAGERSTA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22482-2023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45071</v>
      </c>
      <c r="E60" s="1" t="n">
        <v>46311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45071</v>
      </c>
      <c r="E61" s="1" t="n">
        <v>46311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46122</v>
      </c>
      <c r="E62" s="1" t="n">
        <v>46311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19707-2026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46311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45635</v>
      </c>
      <c r="E64" s="1" t="n">
        <v>46311</v>
      </c>
      <c r="F64" t="inlineStr">
        <is>
          <t>VÄSTMANLANDS LÄN</t>
        </is>
      </c>
      <c r="G64" t="inlineStr">
        <is>
          <t>FAGERSTA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19156-2025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45769</v>
      </c>
      <c r="E65" s="1" t="n">
        <v>46311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10.1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19708-2026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46134</v>
      </c>
      <c r="E66" s="1" t="n">
        <v>46311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19825-2026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46135</v>
      </c>
      <c r="E67" s="1" t="n">
        <v>46311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13697-2025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45737</v>
      </c>
      <c r="E68" s="1" t="n">
        <v>46311</v>
      </c>
      <c r="F68" t="inlineStr">
        <is>
          <t>VÄSTMANLANDS LÄN</t>
        </is>
      </c>
      <c r="G68" t="inlineStr">
        <is>
          <t>FAGERSTA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46311</v>
      </c>
      <c r="F69" t="inlineStr">
        <is>
          <t>VÄSTMANLANDS LÄN</t>
        </is>
      </c>
      <c r="G69" t="inlineStr">
        <is>
          <t>FAGERSTA</t>
        </is>
      </c>
      <c r="H69" t="inlineStr">
        <is>
          <t>Övriga Aktiebolag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20583-2026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46140</v>
      </c>
      <c r="E70" s="1" t="n">
        <v>46311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31231-2024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45503</v>
      </c>
      <c r="E71" s="1" t="n">
        <v>46311</v>
      </c>
      <c r="F71" t="inlineStr">
        <is>
          <t>VÄSTMANLANDS LÄN</t>
        </is>
      </c>
      <c r="G71" t="inlineStr">
        <is>
          <t>FAGERSTA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45128</v>
      </c>
      <c r="E72" s="1" t="n">
        <v>46311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45390-2023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45193</v>
      </c>
      <c r="E73" s="1" t="n">
        <v>46311</v>
      </c>
      <c r="F73" t="inlineStr">
        <is>
          <t>VÄSTMANLANDS LÄN</t>
        </is>
      </c>
      <c r="G73" t="inlineStr">
        <is>
          <t>FAGERSTA</t>
        </is>
      </c>
      <c r="I73" t="n">
        <v>8.4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29073-2025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45821</v>
      </c>
      <c r="E74" s="1" t="n">
        <v>46311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13391-2026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46094</v>
      </c>
      <c r="E75" s="1" t="n">
        <v>46311</v>
      </c>
      <c r="F75" t="inlineStr">
        <is>
          <t>VÄSTMANLANDS LÄN</t>
        </is>
      </c>
      <c r="G75" t="inlineStr">
        <is>
          <t>FAGERSTA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10820-2025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46311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46150</v>
      </c>
      <c r="E77" s="1" t="n">
        <v>46311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21888-2026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46150</v>
      </c>
      <c r="E78" s="1" t="n">
        <v>46311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46150</v>
      </c>
      <c r="E79" s="1" t="n">
        <v>46311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46311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21891-2026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46311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11.8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7380-2025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45705</v>
      </c>
      <c r="E82" s="1" t="n">
        <v>46311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46311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15812-2025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45748</v>
      </c>
      <c r="E84" s="1" t="n">
        <v>46311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41644-2025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45902</v>
      </c>
      <c r="E85" s="1" t="n">
        <v>46311</v>
      </c>
      <c r="F85" t="inlineStr">
        <is>
          <t>VÄSTMANLANDS LÄN</t>
        </is>
      </c>
      <c r="G85" t="inlineStr">
        <is>
          <t>FAGERSTA</t>
        </is>
      </c>
      <c r="H85" t="inlineStr">
        <is>
          <t>Kommuner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46311</v>
      </c>
      <c r="F86" t="inlineStr">
        <is>
          <t>VÄSTMANLANDS LÄN</t>
        </is>
      </c>
      <c r="G86" t="inlineStr">
        <is>
          <t>FAGERSTA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46311</v>
      </c>
      <c r="F87" t="inlineStr">
        <is>
          <t>VÄSTMANLANDS LÄN</t>
        </is>
      </c>
      <c r="G87" t="inlineStr">
        <is>
          <t>FAGERSTA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46359-2025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45925</v>
      </c>
      <c r="E88" s="1" t="n">
        <v>46311</v>
      </c>
      <c r="F88" t="inlineStr">
        <is>
          <t>VÄSTMANLANDS LÄN</t>
        </is>
      </c>
      <c r="G88" t="inlineStr">
        <is>
          <t>FAGERSTA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45627</v>
      </c>
      <c r="E89" s="1" t="n">
        <v>46311</v>
      </c>
      <c r="F89" t="inlineStr">
        <is>
          <t>VÄSTMANLANDS LÄN</t>
        </is>
      </c>
      <c r="G89" t="inlineStr">
        <is>
          <t>FAGERSTA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46311</v>
      </c>
      <c r="F90" t="inlineStr">
        <is>
          <t>VÄSTMANLANDS LÄN</t>
        </is>
      </c>
      <c r="G90" t="inlineStr">
        <is>
          <t>FAGERSTA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44953</v>
      </c>
      <c r="E91" s="1" t="n">
        <v>46311</v>
      </c>
      <c r="F91" t="inlineStr">
        <is>
          <t>VÄSTMANLANDS LÄN</t>
        </is>
      </c>
      <c r="G91" t="inlineStr">
        <is>
          <t>FAGERSTA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46181</v>
      </c>
      <c r="E92" s="1" t="n">
        <v>46311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46311</v>
      </c>
      <c r="F93" t="inlineStr">
        <is>
          <t>VÄSTMANLANDS LÄN</t>
        </is>
      </c>
      <c r="G93" t="inlineStr">
        <is>
          <t>FAGERSTA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32004-2025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46311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46213</v>
      </c>
      <c r="E95" s="1" t="n">
        <v>46311</v>
      </c>
      <c r="F95" t="inlineStr">
        <is>
          <t>VÄSTMANLANDS LÄN</t>
        </is>
      </c>
      <c r="G95" t="inlineStr">
        <is>
          <t>FAGERSTA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31482-2026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46223</v>
      </c>
      <c r="E96" s="1" t="n">
        <v>46311</v>
      </c>
      <c r="F96" t="inlineStr">
        <is>
          <t>VÄSTMANLANDS LÄN</t>
        </is>
      </c>
      <c r="G96" t="inlineStr">
        <is>
          <t>FAGERSTA</t>
        </is>
      </c>
      <c r="H96" t="inlineStr">
        <is>
          <t>Övriga Aktiebolag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45627</v>
      </c>
      <c r="E97" s="1" t="n">
        <v>46311</v>
      </c>
      <c r="F97" t="inlineStr">
        <is>
          <t>VÄSTMANLANDS LÄN</t>
        </is>
      </c>
      <c r="G97" t="inlineStr">
        <is>
          <t>FAGERSTA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37235-2026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46274</v>
      </c>
      <c r="E98" s="1" t="n">
        <v>46311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37231-2026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46274</v>
      </c>
      <c r="E99" s="1" t="n">
        <v>46311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37234-2026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46274</v>
      </c>
      <c r="E100" s="1" t="n">
        <v>46311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37228-2026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46274</v>
      </c>
      <c r="E101" s="1" t="n">
        <v>46311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46311</v>
      </c>
      <c r="F102" t="inlineStr">
        <is>
          <t>VÄSTMANLANDS LÄN</t>
        </is>
      </c>
      <c r="G102" t="inlineStr">
        <is>
          <t>FAGERSTA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45972</v>
      </c>
      <c r="E103" s="1" t="n">
        <v>46311</v>
      </c>
      <c r="F103" t="inlineStr">
        <is>
          <t>VÄSTMANLANDS LÄN</t>
        </is>
      </c>
      <c r="G103" t="inlineStr">
        <is>
          <t>FAGERSTA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45762</v>
      </c>
      <c r="E104" s="1" t="n">
        <v>46311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46311</v>
      </c>
      <c r="F105" t="inlineStr">
        <is>
          <t>VÄSTMANLANDS LÄN</t>
        </is>
      </c>
      <c r="G105" t="inlineStr">
        <is>
          <t>FAGERSTA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46311</v>
      </c>
      <c r="F106" t="inlineStr">
        <is>
          <t>VÄSTMANLANDS LÄN</t>
        </is>
      </c>
      <c r="G106" t="inlineStr">
        <is>
          <t>FAGERSTA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45769</v>
      </c>
      <c r="E107" s="1" t="n">
        <v>46311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14.6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46287</v>
      </c>
      <c r="E108" s="1" t="n">
        <v>46311</v>
      </c>
      <c r="F108" t="inlineStr">
        <is>
          <t>VÄSTMANLANDS LÄN</t>
        </is>
      </c>
      <c r="G108" t="inlineStr">
        <is>
          <t>FAGERSTA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46311</v>
      </c>
      <c r="F109" t="inlineStr">
        <is>
          <t>VÄSTMANLANDS LÄN</t>
        </is>
      </c>
      <c r="G109" t="inlineStr">
        <is>
          <t>FAGERSTA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46311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46311</v>
      </c>
      <c r="F111" t="inlineStr">
        <is>
          <t>VÄSTMANLANDS LÄN</t>
        </is>
      </c>
      <c r="G111" t="inlineStr">
        <is>
          <t>FAGERSTA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39897-2026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46289</v>
      </c>
      <c r="E112" s="1" t="n">
        <v>46311</v>
      </c>
      <c r="F112" t="inlineStr">
        <is>
          <t>VÄSTMANLANDS LÄN</t>
        </is>
      </c>
      <c r="G112" t="inlineStr">
        <is>
          <t>FAGERSTA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46311</v>
      </c>
      <c r="F113" t="inlineStr">
        <is>
          <t>VÄSTMANLANDS LÄN</t>
        </is>
      </c>
      <c r="G113" t="inlineStr">
        <is>
          <t>FAGERSTA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30813-2022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44764</v>
      </c>
      <c r="E114" s="1" t="n">
        <v>46311</v>
      </c>
      <c r="F114" t="inlineStr">
        <is>
          <t>VÄSTMANLANDS LÄN</t>
        </is>
      </c>
      <c r="G114" t="inlineStr">
        <is>
          <t>FAGERSTA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46311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46311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45785</v>
      </c>
      <c r="E117" s="1" t="n">
        <v>46311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63305-2025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46010</v>
      </c>
      <c r="E118" s="1" t="n">
        <v>46311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45627</v>
      </c>
      <c r="E119" s="1" t="n">
        <v>46311</v>
      </c>
      <c r="F119" t="inlineStr">
        <is>
          <t>VÄSTMANLANDS LÄN</t>
        </is>
      </c>
      <c r="G119" t="inlineStr">
        <is>
          <t>FAGERSTA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46311</v>
      </c>
      <c r="F120" t="inlineStr">
        <is>
          <t>VÄSTMANLANDS LÄN</t>
        </is>
      </c>
      <c r="G120" t="inlineStr">
        <is>
          <t>FAGERSTA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46311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45789</v>
      </c>
      <c r="E122" s="1" t="n">
        <v>46311</v>
      </c>
      <c r="F122" t="inlineStr">
        <is>
          <t>VÄSTMANLANDS LÄN</t>
        </is>
      </c>
      <c r="G122" t="inlineStr">
        <is>
          <t>FAGERSTA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34766-2026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46258</v>
      </c>
      <c r="E123" s="1" t="n">
        <v>46311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39157-2024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46311</v>
      </c>
      <c r="F124" t="inlineStr">
        <is>
          <t>VÄSTMANLANDS LÄN</t>
        </is>
      </c>
      <c r="G124" t="inlineStr">
        <is>
          <t>FAGERSTA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28249-2022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44746</v>
      </c>
      <c r="E125" s="1" t="n">
        <v>46311</v>
      </c>
      <c r="F125" t="inlineStr">
        <is>
          <t>VÄSTMANLANDS LÄN</t>
        </is>
      </c>
      <c r="G125" t="inlineStr">
        <is>
          <t>FAGERSTA</t>
        </is>
      </c>
      <c r="H125" t="inlineStr">
        <is>
          <t>Kommuner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44994</v>
      </c>
      <c r="E126" s="1" t="n">
        <v>46311</v>
      </c>
      <c r="F126" t="inlineStr">
        <is>
          <t>VÄSTMANLANDS LÄN</t>
        </is>
      </c>
      <c r="G126" t="inlineStr">
        <is>
          <t>FAGERSTA</t>
        </is>
      </c>
      <c r="H126" t="inlineStr">
        <is>
          <t>Kommuner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32249-2022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46311</v>
      </c>
      <c r="F127" t="inlineStr">
        <is>
          <t>VÄSTMANLANDS LÄN</t>
        </is>
      </c>
      <c r="G127" t="inlineStr">
        <is>
          <t>FAGERSTA</t>
        </is>
      </c>
      <c r="H127" t="inlineStr">
        <is>
          <t>Kommuner</t>
        </is>
      </c>
      <c r="I127" t="n">
        <v>22.9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46311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60374-2025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45995</v>
      </c>
      <c r="E129" s="1" t="n">
        <v>46311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Kommuner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46077</v>
      </c>
      <c r="E130" s="1" t="n">
        <v>46311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Bergvik skog väst AB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46077</v>
      </c>
      <c r="E131" s="1" t="n">
        <v>46311</v>
      </c>
      <c r="F131" t="inlineStr">
        <is>
          <t>VÄSTMANLANDS LÄN</t>
        </is>
      </c>
      <c r="G131" t="inlineStr">
        <is>
          <t>FAGERSTA</t>
        </is>
      </c>
      <c r="H131" t="inlineStr">
        <is>
          <t>Bergvik skog väst AB</t>
        </is>
      </c>
      <c r="I131" t="n">
        <v>19.5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10686-2026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46311</v>
      </c>
      <c r="F132" t="inlineStr">
        <is>
          <t>VÄSTMANLANDS LÄN</t>
        </is>
      </c>
      <c r="G132" t="inlineStr">
        <is>
          <t>FAGERSTA</t>
        </is>
      </c>
      <c r="H132" t="inlineStr">
        <is>
          <t>Bergvik skog väst AB</t>
        </is>
      </c>
      <c r="I132" t="n">
        <v>18.6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46311</v>
      </c>
      <c r="F133" t="inlineStr">
        <is>
          <t>VÄSTMANLANDS LÄN</t>
        </is>
      </c>
      <c r="G133" t="inlineStr">
        <is>
          <t>FAGERSTA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2078-2025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46311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2080-2025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46311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2079-2025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46311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2121-2025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45846</v>
      </c>
      <c r="E137" s="1" t="n">
        <v>46311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3554-2025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46010</v>
      </c>
      <c r="E138" s="1" t="n">
        <v>46311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1073-2026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46128</v>
      </c>
      <c r="E139" s="1" t="n">
        <v>46311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1143-2026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46135</v>
      </c>
      <c r="E140" s="1" t="n">
        <v>46311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46311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46311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2026-10-16T02:15:35Z</dcterms:created>
  <dcterms:modified xmlns:dcterms="http://purl.org/dc/terms/" xmlns:xsi="http://www.w3.org/2001/XMLSchema-instance" xsi:type="dcterms:W3CDTF">2026-10-16T02:15:35Z</dcterms:modified>
</cp:coreProperties>
</file>