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45880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45880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51122-2024</t>
        </is>
      </c>
      <c r="B8" s="1" t="n">
        <v>45603</v>
      </c>
      <c r="C8" s="1" t="n">
        <v>45880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Brunklöver</t>
        </is>
      </c>
      <c r="S8">
        <f>HYPERLINK("https://klasma.github.io/Logging_1982/artfynd/A 51122-2024 artfynd.xlsx", "A 51122-2024")</f>
        <v/>
      </c>
      <c r="T8">
        <f>HYPERLINK("https://klasma.github.io/Logging_1982/kartor/A 51122-2024 karta.png", "A 51122-2024")</f>
        <v/>
      </c>
      <c r="V8">
        <f>HYPERLINK("https://klasma.github.io/Logging_1982/klagomål/A 51122-2024 FSC-klagomål.docx", "A 51122-2024")</f>
        <v/>
      </c>
      <c r="W8">
        <f>HYPERLINK("https://klasma.github.io/Logging_1982/klagomålsmail/A 51122-2024 FSC-klagomål mail.docx", "A 51122-2024")</f>
        <v/>
      </c>
      <c r="X8">
        <f>HYPERLINK("https://klasma.github.io/Logging_1982/tillsyn/A 51122-2024 tillsynsbegäran.docx", "A 51122-2024")</f>
        <v/>
      </c>
      <c r="Y8">
        <f>HYPERLINK("https://klasma.github.io/Logging_1982/tillsynsmail/A 51122-2024 tillsynsbegäran mail.docx", "A 51122-2024")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45880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45880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45880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45880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45880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45880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45880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45880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45880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45880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45880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45880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45880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45880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45880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45880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45880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45880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45880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45880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45880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45880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45880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45880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29510-2022</t>
        </is>
      </c>
      <c r="B45" s="1" t="n">
        <v>44753</v>
      </c>
      <c r="C45" s="1" t="n">
        <v>45880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45880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38128-2021</t>
        </is>
      </c>
      <c r="B47" s="1" t="n">
        <v>44405.37</v>
      </c>
      <c r="C47" s="1" t="n">
        <v>45880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HYPERLINK("https://klasma.github.io/Logging_1982/knärot/A 38128-2021 karta knärot.png", "A 38128-2021")</f>
        <v/>
      </c>
      <c r="V47">
        <f>HYPERLINK("https://klasma.github.io/Logging_1982/klagomål/A 38128-2021 FSC-klagomål.docx", "A 38128-2021")</f>
        <v/>
      </c>
      <c r="W47">
        <f>HYPERLINK("https://klasma.github.io/Logging_1982/klagomålsmail/A 38128-2021 FSC-klagomål mail.docx", "A 38128-2021")</f>
        <v/>
      </c>
      <c r="X47">
        <f>HYPERLINK("https://klasma.github.io/Logging_1982/tillsyn/A 38128-2021 tillsynsbegäran.docx", "A 38128-2021")</f>
        <v/>
      </c>
      <c r="Y47">
        <f>HYPERLINK("https://klasma.github.io/Logging_1982/tillsynsmail/A 38128-2021 tillsynsbegäran mail.docx", "A 38128-2021")</f>
        <v/>
      </c>
    </row>
    <row r="48" ht="15" customHeight="1">
      <c r="A48" t="inlineStr">
        <is>
          <t>A 28249-2022</t>
        </is>
      </c>
      <c r="B48" s="1" t="n">
        <v>44746</v>
      </c>
      <c r="C48" s="1" t="n">
        <v>45880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56699-2024</t>
        </is>
      </c>
      <c r="B49" s="1" t="n">
        <v>45627.7980787037</v>
      </c>
      <c r="C49" s="1" t="n">
        <v>45880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45880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17612-2025</t>
        </is>
      </c>
      <c r="B51" s="1" t="n">
        <v>45757.79734953704</v>
      </c>
      <c r="C51" s="1" t="n">
        <v>45880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45880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45880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16545-2025</t>
        </is>
      </c>
      <c r="B54" s="1" t="n">
        <v>45751.68105324074</v>
      </c>
      <c r="C54" s="1" t="n">
        <v>45880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16546-2025</t>
        </is>
      </c>
      <c r="B55" s="1" t="n">
        <v>45751.683125</v>
      </c>
      <c r="C55" s="1" t="n">
        <v>45880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40185-2020</t>
        </is>
      </c>
      <c r="B56" s="1" t="n">
        <v>44068</v>
      </c>
      <c r="C56" s="1" t="n">
        <v>45880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18463-2025</t>
        </is>
      </c>
      <c r="B57" s="1" t="n">
        <v>45762.69976851852</v>
      </c>
      <c r="C57" s="1" t="n">
        <v>45880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20909-2024</t>
        </is>
      </c>
      <c r="B58" s="1" t="n">
        <v>45439</v>
      </c>
      <c r="C58" s="1" t="n">
        <v>45880</v>
      </c>
      <c r="D58" t="inlineStr">
        <is>
          <t>VÄSTMANLANDS LÄN</t>
        </is>
      </c>
      <c r="E58" t="inlineStr">
        <is>
          <t>FAGERSTA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54804-2023</t>
        </is>
      </c>
      <c r="B59" s="1" t="n">
        <v>45236.51261574074</v>
      </c>
      <c r="C59" s="1" t="n">
        <v>45880</v>
      </c>
      <c r="D59" t="inlineStr">
        <is>
          <t>VÄSTMANLANDS LÄN</t>
        </is>
      </c>
      <c r="E59" t="inlineStr">
        <is>
          <t>FAGERSTA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45880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45880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22323-2024</t>
        </is>
      </c>
      <c r="B62" s="1" t="n">
        <v>45446</v>
      </c>
      <c r="C62" s="1" t="n">
        <v>45880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57855-2023</t>
        </is>
      </c>
      <c r="B63" s="1" t="n">
        <v>45247.43503472222</v>
      </c>
      <c r="C63" s="1" t="n">
        <v>45880</v>
      </c>
      <c r="D63" t="inlineStr">
        <is>
          <t>VÄSTMANLANDS LÄN</t>
        </is>
      </c>
      <c r="E63" t="inlineStr">
        <is>
          <t>FAGERSTA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45880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16547-2025</t>
        </is>
      </c>
      <c r="B65" s="1" t="n">
        <v>45751.68385416667</v>
      </c>
      <c r="C65" s="1" t="n">
        <v>45880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28207-2024</t>
        </is>
      </c>
      <c r="B66" s="1" t="n">
        <v>45477</v>
      </c>
      <c r="C66" s="1" t="n">
        <v>45880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62095-2022</t>
        </is>
      </c>
      <c r="B67" s="1" t="n">
        <v>44919</v>
      </c>
      <c r="C67" s="1" t="n">
        <v>45880</v>
      </c>
      <c r="D67" t="inlineStr">
        <is>
          <t>VÄSTMANLANDS LÄN</t>
        </is>
      </c>
      <c r="E67" t="inlineStr">
        <is>
          <t>FAGERSTA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45880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48261-2022</t>
        </is>
      </c>
      <c r="B69" s="1" t="n">
        <v>44858</v>
      </c>
      <c r="C69" s="1" t="n">
        <v>45880</v>
      </c>
      <c r="D69" t="inlineStr">
        <is>
          <t>VÄSTMANLANDS LÄN</t>
        </is>
      </c>
      <c r="E69" t="inlineStr">
        <is>
          <t>FAGERSTA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22025-2025</t>
        </is>
      </c>
      <c r="B70" s="1" t="n">
        <v>45784</v>
      </c>
      <c r="C70" s="1" t="n">
        <v>45880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58310-2024</t>
        </is>
      </c>
      <c r="B71" s="1" t="n">
        <v>45632</v>
      </c>
      <c r="C71" s="1" t="n">
        <v>45880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45880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30813-2022</t>
        </is>
      </c>
      <c r="B73" s="1" t="n">
        <v>44764.96467592593</v>
      </c>
      <c r="C73" s="1" t="n">
        <v>45880</v>
      </c>
      <c r="D73" t="inlineStr">
        <is>
          <t>VÄSTMANLANDS LÄN</t>
        </is>
      </c>
      <c r="E73" t="inlineStr">
        <is>
          <t>FAGERSTA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45880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12121-2023</t>
        </is>
      </c>
      <c r="B75" s="1" t="n">
        <v>44998</v>
      </c>
      <c r="C75" s="1" t="n">
        <v>45880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45880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22118-2025</t>
        </is>
      </c>
      <c r="B77" s="1" t="n">
        <v>45785.51457175926</v>
      </c>
      <c r="C77" s="1" t="n">
        <v>45880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22117-2025</t>
        </is>
      </c>
      <c r="B78" s="1" t="n">
        <v>45785.51381944444</v>
      </c>
      <c r="C78" s="1" t="n">
        <v>45880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45880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22590-2025</t>
        </is>
      </c>
      <c r="B80" s="1" t="n">
        <v>45789</v>
      </c>
      <c r="C80" s="1" t="n">
        <v>45880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56704-2024</t>
        </is>
      </c>
      <c r="B81" s="1" t="n">
        <v>45627.83027777778</v>
      </c>
      <c r="C81" s="1" t="n">
        <v>45880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33007-2023</t>
        </is>
      </c>
      <c r="B82" s="1" t="n">
        <v>45125</v>
      </c>
      <c r="C82" s="1" t="n">
        <v>45880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45880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56694-2024</t>
        </is>
      </c>
      <c r="B84" s="1" t="n">
        <v>45627.75526620371</v>
      </c>
      <c r="C84" s="1" t="n">
        <v>45880</v>
      </c>
      <c r="D84" t="inlineStr">
        <is>
          <t>VÄSTMANLANDS LÄN</t>
        </is>
      </c>
      <c r="E84" t="inlineStr">
        <is>
          <t>FAGERSTA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45880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58594-2024</t>
        </is>
      </c>
      <c r="B86" s="1" t="n">
        <v>45635</v>
      </c>
      <c r="C86" s="1" t="n">
        <v>45880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19888-2025</t>
        </is>
      </c>
      <c r="B87" s="1" t="n">
        <v>45771.57357638889</v>
      </c>
      <c r="C87" s="1" t="n">
        <v>45880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37955-2023</t>
        </is>
      </c>
      <c r="B88" s="1" t="n">
        <v>45160</v>
      </c>
      <c r="C88" s="1" t="n">
        <v>45880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16544-2025</t>
        </is>
      </c>
      <c r="B89" s="1" t="n">
        <v>45751.67940972222</v>
      </c>
      <c r="C89" s="1" t="n">
        <v>45880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22482-2023</t>
        </is>
      </c>
      <c r="B90" s="1" t="n">
        <v>45071</v>
      </c>
      <c r="C90" s="1" t="n">
        <v>45880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22485-2023</t>
        </is>
      </c>
      <c r="B91" s="1" t="n">
        <v>45071</v>
      </c>
      <c r="C91" s="1" t="n">
        <v>45880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45880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32001-2025</t>
        </is>
      </c>
      <c r="B93" s="1" t="n">
        <v>45835.37936342593</v>
      </c>
      <c r="C93" s="1" t="n">
        <v>45880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19156-2025</t>
        </is>
      </c>
      <c r="B94" s="1" t="n">
        <v>45769</v>
      </c>
      <c r="C94" s="1" t="n">
        <v>45880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32805-2025</t>
        </is>
      </c>
      <c r="B95" s="1" t="n">
        <v>45839</v>
      </c>
      <c r="C95" s="1" t="n">
        <v>45880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13697-2025</t>
        </is>
      </c>
      <c r="B96" s="1" t="n">
        <v>45737</v>
      </c>
      <c r="C96" s="1" t="n">
        <v>45880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45880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39157-2024</t>
        </is>
      </c>
      <c r="B98" s="1" t="n">
        <v>45548.63049768518</v>
      </c>
      <c r="C98" s="1" t="n">
        <v>45880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11660-2023</t>
        </is>
      </c>
      <c r="B99" s="1" t="n">
        <v>44994</v>
      </c>
      <c r="C99" s="1" t="n">
        <v>45880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33236-2025</t>
        </is>
      </c>
      <c r="B100" s="1" t="n">
        <v>45840.64615740741</v>
      </c>
      <c r="C100" s="1" t="n">
        <v>45880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33865-2025</t>
        </is>
      </c>
      <c r="B101" s="1" t="n">
        <v>45842.533125</v>
      </c>
      <c r="C101" s="1" t="n">
        <v>45880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45880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45880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34374-2025</t>
        </is>
      </c>
      <c r="B104" s="1" t="n">
        <v>45846.52753472222</v>
      </c>
      <c r="C104" s="1" t="n">
        <v>45880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45880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45880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31231-2024</t>
        </is>
      </c>
      <c r="B107" s="1" t="n">
        <v>45503</v>
      </c>
      <c r="C107" s="1" t="n">
        <v>45880</v>
      </c>
      <c r="D107" t="inlineStr">
        <is>
          <t>VÄSTMANLANDS LÄN</t>
        </is>
      </c>
      <c r="E107" t="inlineStr">
        <is>
          <t>FAGERSTA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45880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26163-2025</t>
        </is>
      </c>
      <c r="B109" s="1" t="n">
        <v>45805.45002314815</v>
      </c>
      <c r="C109" s="1" t="n">
        <v>45880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26164-2025</t>
        </is>
      </c>
      <c r="B110" s="1" t="n">
        <v>45805.45237268518</v>
      </c>
      <c r="C110" s="1" t="n">
        <v>45880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33357-2023</t>
        </is>
      </c>
      <c r="B111" s="1" t="n">
        <v>45128.4874537037</v>
      </c>
      <c r="C111" s="1" t="n">
        <v>45880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45880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45880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45880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45880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45880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65829-2020</t>
        </is>
      </c>
      <c r="B117" s="1" t="n">
        <v>44172</v>
      </c>
      <c r="C117" s="1" t="n">
        <v>45880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28425-2025</t>
        </is>
      </c>
      <c r="B118" s="1" t="n">
        <v>45819.37296296296</v>
      </c>
      <c r="C118" s="1" t="n">
        <v>45880</v>
      </c>
      <c r="D118" t="inlineStr">
        <is>
          <t>VÄSTMANLANDS LÄN</t>
        </is>
      </c>
      <c r="E118" t="inlineStr">
        <is>
          <t>FAGERSTA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29072-2025</t>
        </is>
      </c>
      <c r="B119" s="1" t="n">
        <v>45821.51378472222</v>
      </c>
      <c r="C119" s="1" t="n">
        <v>45880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29074-2025</t>
        </is>
      </c>
      <c r="B120" s="1" t="n">
        <v>45821.51690972222</v>
      </c>
      <c r="C120" s="1" t="n">
        <v>45880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45821.51886574074</v>
      </c>
      <c r="C121" s="1" t="n">
        <v>45880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45880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29348-2025</t>
        </is>
      </c>
      <c r="B123" s="1" t="n">
        <v>45824.51702546296</v>
      </c>
      <c r="C123" s="1" t="n">
        <v>45880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45880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45880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45880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45880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15812-2025</t>
        </is>
      </c>
      <c r="B128" s="1" t="n">
        <v>45748.66613425926</v>
      </c>
      <c r="C128" s="1" t="n">
        <v>45880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49311-2022</t>
        </is>
      </c>
      <c r="B129" s="1" t="n">
        <v>44861</v>
      </c>
      <c r="C129" s="1" t="n">
        <v>45880</v>
      </c>
      <c r="D129" t="inlineStr">
        <is>
          <t>VÄSTMANLANDS LÄN</t>
        </is>
      </c>
      <c r="E129" t="inlineStr">
        <is>
          <t>FAGERSTA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45880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13495-2025</t>
        </is>
      </c>
      <c r="B131" s="1" t="n">
        <v>45736.44006944444</v>
      </c>
      <c r="C131" s="1" t="n">
        <v>45880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56698-2024</t>
        </is>
      </c>
      <c r="B132" s="1" t="n">
        <v>45627.79015046296</v>
      </c>
      <c r="C132" s="1" t="n">
        <v>45880</v>
      </c>
      <c r="D132" t="inlineStr">
        <is>
          <t>VÄSTMANLANDS LÄN</t>
        </is>
      </c>
      <c r="E132" t="inlineStr">
        <is>
          <t>FAGERSTA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63480-2023</t>
        </is>
      </c>
      <c r="B133" s="1" t="n">
        <v>45274</v>
      </c>
      <c r="C133" s="1" t="n">
        <v>45880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30503-2021</t>
        </is>
      </c>
      <c r="B134" s="1" t="n">
        <v>44364</v>
      </c>
      <c r="C134" s="1" t="n">
        <v>45880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31775-2025</t>
        </is>
      </c>
      <c r="B135" s="1" t="n">
        <v>45834.51887731482</v>
      </c>
      <c r="C135" s="1" t="n">
        <v>45880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31776-2025</t>
        </is>
      </c>
      <c r="B136" s="1" t="n">
        <v>45834.51931712963</v>
      </c>
      <c r="C136" s="1" t="n">
        <v>45880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31768-2025</t>
        </is>
      </c>
      <c r="B137" s="1" t="n">
        <v>45834.50034722222</v>
      </c>
      <c r="C137" s="1" t="n">
        <v>45880</v>
      </c>
      <c r="D137" t="inlineStr">
        <is>
          <t>VÄSTMANLANDS LÄN</t>
        </is>
      </c>
      <c r="E137" t="inlineStr">
        <is>
          <t>FAGERSTA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45880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45880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45880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50209-2024</t>
        </is>
      </c>
      <c r="B141" s="1" t="n">
        <v>45600</v>
      </c>
      <c r="C141" s="1" t="n">
        <v>45880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45880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13721-2024</t>
        </is>
      </c>
      <c r="B143" s="1" t="n">
        <v>45390</v>
      </c>
      <c r="C143" s="1" t="n">
        <v>45880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2025-08-11T08:26:04Z</dcterms:created>
  <dcterms:modified xmlns:dcterms="http://purl.org/dc/terms/" xmlns:xsi="http://www.w3.org/2001/XMLSchema-instance" xsi:type="dcterms:W3CDTF">2025-08-11T08:26:05Z</dcterms:modified>
</cp:coreProperties>
</file>