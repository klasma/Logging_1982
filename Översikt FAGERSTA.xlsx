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44971</v>
      </c>
      <c r="E10" s="1" t="n">
        <v>46308</v>
      </c>
      <c r="F10" t="inlineStr">
        <is>
          <t>VÄSTMANLANDS LÄN</t>
        </is>
      </c>
      <c r="G10" t="inlineStr">
        <is>
          <t>FAGERSTA</t>
        </is>
      </c>
      <c r="I10" t="n">
        <v>3.5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Bolmört
Tibast</t>
        </is>
      </c>
      <c r="W10">
        <f>HYPERLINK("https://klasma.github.io/Logging_1982/artfynd/A 7385-2023 artfynd.xlsx", "A 7385-2023")</f>
        <v/>
      </c>
      <c r="X10">
        <f>HYPERLINK("https://klasma.github.io/Logging_1982/kartor/A 7385-2023 karta.png", "A 7385-2023")</f>
        <v/>
      </c>
      <c r="Y10">
        <f>HYPERLINK("https://klasma.github.io/Logging_1982/kartor_geotiff/A 7385-2023 georefererad karta.tif", "A 7385-2023")</f>
        <v/>
      </c>
      <c r="AA10">
        <f>HYPERLINK("https://klasma.github.io/Logging_1982/klagomål/A 7385-2023 FSC-klagomål.docx", "A 7385-2023")</f>
        <v/>
      </c>
      <c r="AB10">
        <f>HYPERLINK("https://klasma.github.io/Logging_1982/klagomålsmail/A 7385-2023 FSC-klagomål mail.docx", "A 7385-2023")</f>
        <v/>
      </c>
      <c r="AC10">
        <f>HYPERLINK("https://klasma.github.io/Logging_1982/tillsyn/A 7385-2023 tillsynsbegäran.docx", "A 7385-2023")</f>
        <v/>
      </c>
      <c r="AD10">
        <f>HYPERLINK("https://klasma.github.io/Logging_1982/tillsynsmail/A 7385-2023 tillsynsbegäran mail.docx", "A 7385-2023")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46308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46308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46308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46308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46308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46308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46308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46308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46308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46308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46308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46308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46308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46308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46308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46308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46308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46308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46308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46308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46308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19213-2025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46308</v>
      </c>
      <c r="F36" t="inlineStr">
        <is>
          <t>VÄSTMANLANDS LÄN</t>
        </is>
      </c>
      <c r="G36" t="inlineStr">
        <is>
          <t>FAGERSTA</t>
        </is>
      </c>
      <c r="H36" t="inlineStr">
        <is>
          <t>Övriga Aktiebolag</t>
        </is>
      </c>
      <c r="I36" t="n">
        <v>14.6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45125</v>
      </c>
      <c r="E37" s="1" t="n">
        <v>46308</v>
      </c>
      <c r="F37" t="inlineStr">
        <is>
          <t>VÄSTMANLANDS LÄN</t>
        </is>
      </c>
      <c r="G37" t="inlineStr">
        <is>
          <t>FAGERSTA</t>
        </is>
      </c>
      <c r="H37" t="inlineStr">
        <is>
          <t>Sveaskog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46308</v>
      </c>
      <c r="F38" t="inlineStr">
        <is>
          <t>VÄSTMANLANDS LÄN</t>
        </is>
      </c>
      <c r="G38" t="inlineStr">
        <is>
          <t>FAGERSTA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46359-2025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45925</v>
      </c>
      <c r="E39" s="1" t="n">
        <v>46308</v>
      </c>
      <c r="F39" t="inlineStr">
        <is>
          <t>VÄSTMANLANDS LÄN</t>
        </is>
      </c>
      <c r="G39" t="inlineStr">
        <is>
          <t>FAGERSTA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46308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46308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46308</v>
      </c>
      <c r="F42" t="inlineStr">
        <is>
          <t>VÄSTMANLANDS LÄN</t>
        </is>
      </c>
      <c r="G42" t="inlineStr">
        <is>
          <t>FAGERSTA</t>
        </is>
      </c>
      <c r="I42" t="n">
        <v>8.5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46308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58310-2024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46308</v>
      </c>
      <c r="F44" t="inlineStr">
        <is>
          <t>VÄSTMANLANDS LÄN</t>
        </is>
      </c>
      <c r="G44" t="inlineStr">
        <is>
          <t>FAGERSTA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12121-2023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44998</v>
      </c>
      <c r="E45" s="1" t="n">
        <v>46308</v>
      </c>
      <c r="F45" t="inlineStr">
        <is>
          <t>VÄSTMANLANDS LÄN</t>
        </is>
      </c>
      <c r="G45" t="inlineStr">
        <is>
          <t>FAGERSTA</t>
        </is>
      </c>
      <c r="H45" t="inlineStr">
        <is>
          <t>Övriga Aktiebolag</t>
        </is>
      </c>
      <c r="I45" t="n">
        <v>6.9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30813-2022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46308</v>
      </c>
      <c r="F46" t="inlineStr">
        <is>
          <t>VÄSTMANLANDS LÄN</t>
        </is>
      </c>
      <c r="G46" t="inlineStr">
        <is>
          <t>FAGERSTA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22117-2025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45785</v>
      </c>
      <c r="E47" s="1" t="n">
        <v>46308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22118-2025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45785</v>
      </c>
      <c r="E48" s="1" t="n">
        <v>46308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46308</v>
      </c>
      <c r="F49" t="inlineStr">
        <is>
          <t>VÄSTMANLANDS LÄN</t>
        </is>
      </c>
      <c r="G49" t="inlineStr">
        <is>
          <t>FAGERSTA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56704-2024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45627</v>
      </c>
      <c r="E50" s="1" t="n">
        <v>46308</v>
      </c>
      <c r="F50" t="inlineStr">
        <is>
          <t>VÄSTMANLANDS LÄN</t>
        </is>
      </c>
      <c r="G50" t="inlineStr">
        <is>
          <t>FAGERSTA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56694-2024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45627</v>
      </c>
      <c r="E51" s="1" t="n">
        <v>46308</v>
      </c>
      <c r="F51" t="inlineStr">
        <is>
          <t>VÄSTMANLANDS LÄN</t>
        </is>
      </c>
      <c r="G51" t="inlineStr">
        <is>
          <t>FAGERSTA</t>
        </is>
      </c>
      <c r="I51" t="n">
        <v>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22482-2023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45071</v>
      </c>
      <c r="E52" s="1" t="n">
        <v>46308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45635</v>
      </c>
      <c r="E53" s="1" t="n">
        <v>46308</v>
      </c>
      <c r="F53" t="inlineStr">
        <is>
          <t>VÄSTMANLANDS LÄN</t>
        </is>
      </c>
      <c r="G53" t="inlineStr">
        <is>
          <t>FAGERSTA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22485-2023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45071</v>
      </c>
      <c r="E54" s="1" t="n">
        <v>46308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31014-2026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46213</v>
      </c>
      <c r="E55" s="1" t="n">
        <v>46308</v>
      </c>
      <c r="F55" t="inlineStr">
        <is>
          <t>VÄSTMANLANDS LÄN</t>
        </is>
      </c>
      <c r="G55" t="inlineStr">
        <is>
          <t>FAGERSTA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39157-2024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45548</v>
      </c>
      <c r="E56" s="1" t="n">
        <v>46308</v>
      </c>
      <c r="F56" t="inlineStr">
        <is>
          <t>VÄSTMANLANDS LÄN</t>
        </is>
      </c>
      <c r="G56" t="inlineStr">
        <is>
          <t>FAGERSTA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31482-2026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46223</v>
      </c>
      <c r="E57" s="1" t="n">
        <v>46308</v>
      </c>
      <c r="F57" t="inlineStr">
        <is>
          <t>VÄSTMANLANDS LÄN</t>
        </is>
      </c>
      <c r="G57" t="inlineStr">
        <is>
          <t>FAGERSTA</t>
        </is>
      </c>
      <c r="H57" t="inlineStr">
        <is>
          <t>Övriga Aktiebolag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36365-2026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46268</v>
      </c>
      <c r="E58" s="1" t="n">
        <v>46308</v>
      </c>
      <c r="F58" t="inlineStr">
        <is>
          <t>VÄSTMANLANDS LÄN</t>
        </is>
      </c>
      <c r="G58" t="inlineStr">
        <is>
          <t>FAGERSTA</t>
        </is>
      </c>
      <c r="H58" t="inlineStr">
        <is>
          <t>Kommuner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45810</v>
      </c>
      <c r="E59" s="1" t="n">
        <v>46308</v>
      </c>
      <c r="F59" t="inlineStr">
        <is>
          <t>VÄSTMANLANDS LÄN</t>
        </is>
      </c>
      <c r="G59" t="inlineStr">
        <is>
          <t>FAGERSTA</t>
        </is>
      </c>
      <c r="H59" t="inlineStr">
        <is>
          <t>Bergvik skog väst AB</t>
        </is>
      </c>
      <c r="I59" t="n">
        <v>22.6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37231-2026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46274</v>
      </c>
      <c r="E60" s="1" t="n">
        <v>46308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37234-2026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46274</v>
      </c>
      <c r="E61" s="1" t="n">
        <v>46308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37235-2026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46274</v>
      </c>
      <c r="E62" s="1" t="n">
        <v>46308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37228-2026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46274</v>
      </c>
      <c r="E63" s="1" t="n">
        <v>46308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63305-2025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46010</v>
      </c>
      <c r="E64" s="1" t="n">
        <v>46308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22590-2025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45789</v>
      </c>
      <c r="E65" s="1" t="n">
        <v>46308</v>
      </c>
      <c r="F65" t="inlineStr">
        <is>
          <t>VÄSTMANLANDS LÄN</t>
        </is>
      </c>
      <c r="G65" t="inlineStr">
        <is>
          <t>FAGERSTA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19888-2025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45771</v>
      </c>
      <c r="E66" s="1" t="n">
        <v>46308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46239</v>
      </c>
      <c r="E67" s="1" t="n">
        <v>46308</v>
      </c>
      <c r="F67" t="inlineStr">
        <is>
          <t>VÄSTMANLANDS LÄN</t>
        </is>
      </c>
      <c r="G67" t="inlineStr">
        <is>
          <t>FAGERSTA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33236-2025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45840</v>
      </c>
      <c r="E68" s="1" t="n">
        <v>46308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33232-2025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45840</v>
      </c>
      <c r="E69" s="1" t="n">
        <v>46308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33238-2025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45840</v>
      </c>
      <c r="E70" s="1" t="n">
        <v>46308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34374-2025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45846</v>
      </c>
      <c r="E71" s="1" t="n">
        <v>46308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45819</v>
      </c>
      <c r="E72" s="1" t="n">
        <v>46308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38973-2026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46286</v>
      </c>
      <c r="E73" s="1" t="n">
        <v>46308</v>
      </c>
      <c r="F73" t="inlineStr">
        <is>
          <t>VÄSTMANLANDS LÄN</t>
        </is>
      </c>
      <c r="G73" t="inlineStr">
        <is>
          <t>FAGERSTA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46246</v>
      </c>
      <c r="E74" s="1" t="n">
        <v>46308</v>
      </c>
      <c r="F74" t="inlineStr">
        <is>
          <t>VÄSTMANLANDS LÄN</t>
        </is>
      </c>
      <c r="G74" t="inlineStr">
        <is>
          <t>FAGERSTA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33191-2026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46246</v>
      </c>
      <c r="E75" s="1" t="n">
        <v>46308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44994</v>
      </c>
      <c r="E76" s="1" t="n">
        <v>46308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44781</v>
      </c>
      <c r="E77" s="1" t="n">
        <v>46308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46308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46287</v>
      </c>
      <c r="E79" s="1" t="n">
        <v>46308</v>
      </c>
      <c r="F79" t="inlineStr">
        <is>
          <t>VÄSTMANLANDS LÄN</t>
        </is>
      </c>
      <c r="G79" t="inlineStr">
        <is>
          <t>FAGERSTA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60374-2025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45995</v>
      </c>
      <c r="E80" s="1" t="n">
        <v>46308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39897-2026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46289</v>
      </c>
      <c r="E81" s="1" t="n">
        <v>46308</v>
      </c>
      <c r="F81" t="inlineStr">
        <is>
          <t>VÄSTMANLANDS LÄN</t>
        </is>
      </c>
      <c r="G81" t="inlineStr">
        <is>
          <t>FAGERSTA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46077</v>
      </c>
      <c r="E82" s="1" t="n">
        <v>46308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19.5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46308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46308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33357-2023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45128</v>
      </c>
      <c r="E85" s="1" t="n">
        <v>46308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33193-2026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46246</v>
      </c>
      <c r="E86" s="1" t="n">
        <v>46308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46308</v>
      </c>
      <c r="F87" t="inlineStr">
        <is>
          <t>VÄSTMANLANDS LÄN</t>
        </is>
      </c>
      <c r="G87" t="inlineStr">
        <is>
          <t>FAGERSTA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46308</v>
      </c>
      <c r="F88" t="inlineStr">
        <is>
          <t>VÄSTMANLANDS LÄN</t>
        </is>
      </c>
      <c r="G88" t="inlineStr">
        <is>
          <t>FAGERSTA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34766-2026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46258</v>
      </c>
      <c r="E89" s="1" t="n">
        <v>46308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46308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46122</v>
      </c>
      <c r="E91" s="1" t="n">
        <v>46308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46308</v>
      </c>
      <c r="F92" t="inlineStr">
        <is>
          <t>VÄSTMANLANDS LÄN</t>
        </is>
      </c>
      <c r="G92" t="inlineStr">
        <is>
          <t>FAGERSTA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46128</v>
      </c>
      <c r="E93" s="1" t="n">
        <v>46308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46128</v>
      </c>
      <c r="E94" s="1" t="n">
        <v>46308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8.699999999999999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18783-2026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46128</v>
      </c>
      <c r="E95" s="1" t="n">
        <v>46308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46134</v>
      </c>
      <c r="E96" s="1" t="n">
        <v>46308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19825-2026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46135</v>
      </c>
      <c r="E97" s="1" t="n">
        <v>46308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19708-2026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46134</v>
      </c>
      <c r="E98" s="1" t="n">
        <v>46308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45821</v>
      </c>
      <c r="E99" s="1" t="n">
        <v>46308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22323-2024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45446</v>
      </c>
      <c r="E100" s="1" t="n">
        <v>46308</v>
      </c>
      <c r="F100" t="inlineStr">
        <is>
          <t>VÄSTMANLANDS LÄN</t>
        </is>
      </c>
      <c r="G100" t="inlineStr">
        <is>
          <t>FAGERSTA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20583-2026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46140</v>
      </c>
      <c r="E101" s="1" t="n">
        <v>46308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46094</v>
      </c>
      <c r="E102" s="1" t="n">
        <v>46308</v>
      </c>
      <c r="F102" t="inlineStr">
        <is>
          <t>VÄSTMANLANDS LÄN</t>
        </is>
      </c>
      <c r="G102" t="inlineStr">
        <is>
          <t>FAGERSTA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45566</v>
      </c>
      <c r="E103" s="1" t="n">
        <v>46308</v>
      </c>
      <c r="F103" t="inlineStr">
        <is>
          <t>VÄSTMANLANDS LÄN</t>
        </is>
      </c>
      <c r="G103" t="inlineStr">
        <is>
          <t>FAGERSTA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45635</v>
      </c>
      <c r="E104" s="1" t="n">
        <v>46308</v>
      </c>
      <c r="F104" t="inlineStr">
        <is>
          <t>VÄSTMANLANDS LÄN</t>
        </is>
      </c>
      <c r="G104" t="inlineStr">
        <is>
          <t>FAGERSTA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46308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46308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21888-2026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46308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21889-2026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46308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21892-2026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46308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44919</v>
      </c>
      <c r="E110" s="1" t="n">
        <v>46308</v>
      </c>
      <c r="F110" t="inlineStr">
        <is>
          <t>VÄSTMANLANDS LÄN</t>
        </is>
      </c>
      <c r="G110" t="inlineStr">
        <is>
          <t>FAGERSTA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41644-2025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45902</v>
      </c>
      <c r="E111" s="1" t="n">
        <v>46308</v>
      </c>
      <c r="F111" t="inlineStr">
        <is>
          <t>VÄSTMANLANDS LÄN</t>
        </is>
      </c>
      <c r="G111" t="inlineStr">
        <is>
          <t>FAGERSTA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46164</v>
      </c>
      <c r="E112" s="1" t="n">
        <v>46308</v>
      </c>
      <c r="F112" t="inlineStr">
        <is>
          <t>VÄSTMANLANDS LÄN</t>
        </is>
      </c>
      <c r="G112" t="inlineStr">
        <is>
          <t>FAGERSTA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46308</v>
      </c>
      <c r="F113" t="inlineStr">
        <is>
          <t>VÄSTMANLANDS LÄN</t>
        </is>
      </c>
      <c r="G113" t="inlineStr">
        <is>
          <t>FAGERSTA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46308</v>
      </c>
      <c r="F114" t="inlineStr">
        <is>
          <t>VÄSTMANLANDS LÄN</t>
        </is>
      </c>
      <c r="G114" t="inlineStr">
        <is>
          <t>FAGERSTA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46308</v>
      </c>
      <c r="F115" t="inlineStr">
        <is>
          <t>VÄSTMANLANDS LÄN</t>
        </is>
      </c>
      <c r="G115" t="inlineStr">
        <is>
          <t>FAGERSTA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46308</v>
      </c>
      <c r="F116" t="inlineStr">
        <is>
          <t>VÄSTMANLANDS LÄN</t>
        </is>
      </c>
      <c r="G116" t="inlineStr">
        <is>
          <t>FAGERSTA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46308</v>
      </c>
      <c r="F117" t="inlineStr">
        <is>
          <t>VÄSTMANLANDS LÄN</t>
        </is>
      </c>
      <c r="G117" t="inlineStr">
        <is>
          <t>FAGERSTA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7380-2025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45705</v>
      </c>
      <c r="E118" s="1" t="n">
        <v>46308</v>
      </c>
      <c r="F118" t="inlineStr">
        <is>
          <t>VÄSTMANLANDS LÄN</t>
        </is>
      </c>
      <c r="G118" t="inlineStr">
        <is>
          <t>FAGERSTA</t>
        </is>
      </c>
      <c r="H118" t="inlineStr">
        <is>
          <t>Bergvik skog väst AB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45722</v>
      </c>
      <c r="E119" s="1" t="n">
        <v>46308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13697-2025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45737</v>
      </c>
      <c r="E120" s="1" t="n">
        <v>46308</v>
      </c>
      <c r="F120" t="inlineStr">
        <is>
          <t>VÄSTMANLANDS LÄN</t>
        </is>
      </c>
      <c r="G120" t="inlineStr">
        <is>
          <t>FAGERSTA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45769</v>
      </c>
      <c r="E121" s="1" t="n">
        <v>46308</v>
      </c>
      <c r="F121" t="inlineStr">
        <is>
          <t>VÄSTMANLANDS LÄN</t>
        </is>
      </c>
      <c r="G121" t="inlineStr">
        <is>
          <t>FAGERSTA</t>
        </is>
      </c>
      <c r="H121" t="inlineStr">
        <is>
          <t>Bergvik skog väst AB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19153-2025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46308</v>
      </c>
      <c r="F122" t="inlineStr">
        <is>
          <t>VÄSTMANLANDS LÄN</t>
        </is>
      </c>
      <c r="G122" t="inlineStr">
        <is>
          <t>FAGERSTA</t>
        </is>
      </c>
      <c r="I122" t="n">
        <v>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21679-2024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45442</v>
      </c>
      <c r="E123" s="1" t="n">
        <v>46308</v>
      </c>
      <c r="F123" t="inlineStr">
        <is>
          <t>VÄSTMANLANDS LÄN</t>
        </is>
      </c>
      <c r="G123" t="inlineStr">
        <is>
          <t>FAGERSTA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44953</v>
      </c>
      <c r="E124" s="1" t="n">
        <v>46308</v>
      </c>
      <c r="F124" t="inlineStr">
        <is>
          <t>VÄSTMANLANDS LÄN</t>
        </is>
      </c>
      <c r="G124" t="inlineStr">
        <is>
          <t>FAGERSTA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46308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46308</v>
      </c>
      <c r="F126" t="inlineStr">
        <is>
          <t>VÄSTMANLANDS LÄN</t>
        </is>
      </c>
      <c r="G126" t="inlineStr">
        <is>
          <t>FAGERSTA</t>
        </is>
      </c>
      <c r="H126" t="inlineStr">
        <is>
          <t>Övriga Aktiebolag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45160</v>
      </c>
      <c r="E127" s="1" t="n">
        <v>46308</v>
      </c>
      <c r="F127" t="inlineStr">
        <is>
          <t>VÄSTMANLANDS LÄN</t>
        </is>
      </c>
      <c r="G127" t="inlineStr">
        <is>
          <t>FAGERSTA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46308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22484-2023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45071</v>
      </c>
      <c r="E129" s="1" t="n">
        <v>46308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56699-2024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45627</v>
      </c>
      <c r="E130" s="1" t="n">
        <v>46308</v>
      </c>
      <c r="F130" t="inlineStr">
        <is>
          <t>VÄSTMANLANDS LÄN</t>
        </is>
      </c>
      <c r="G130" t="inlineStr">
        <is>
          <t>FAGERSTA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45503</v>
      </c>
      <c r="E131" s="1" t="n">
        <v>46308</v>
      </c>
      <c r="F131" t="inlineStr">
        <is>
          <t>VÄSTMANLANDS LÄN</t>
        </is>
      </c>
      <c r="G131" t="inlineStr">
        <is>
          <t>FAGERSTA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45439</v>
      </c>
      <c r="E132" s="1" t="n">
        <v>46308</v>
      </c>
      <c r="F132" t="inlineStr">
        <is>
          <t>VÄSTMANLANDS LÄN</t>
        </is>
      </c>
      <c r="G132" t="inlineStr">
        <is>
          <t>FAGERSTA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45390-2023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45193</v>
      </c>
      <c r="E133" s="1" t="n">
        <v>46308</v>
      </c>
      <c r="F133" t="inlineStr">
        <is>
          <t>VÄSTMANLANDS LÄN</t>
        </is>
      </c>
      <c r="G133" t="inlineStr">
        <is>
          <t>FAGERSTA</t>
        </is>
      </c>
      <c r="I133" t="n">
        <v>8.4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46308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46308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46308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46308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46308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46308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46308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46308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46308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2026-10-13T01:57:28Z</dcterms:created>
  <dcterms:modified xmlns:dcterms="http://purl.org/dc/terms/" xmlns:xsi="http://www.w3.org/2001/XMLSchema-instance" xsi:type="dcterms:W3CDTF">2026-10-13T01:57:28Z</dcterms:modified>
</cp:coreProperties>
</file>