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46269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46269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46269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46269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46269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46269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46269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46269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44971</v>
      </c>
      <c r="E10" s="1" t="n">
        <v>46269</v>
      </c>
      <c r="F10" t="inlineStr">
        <is>
          <t>VÄSTMANLANDS LÄN</t>
        </is>
      </c>
      <c r="G10" t="inlineStr">
        <is>
          <t>FAGERSTA</t>
        </is>
      </c>
      <c r="I10" t="n">
        <v>3.5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Bolmört
Tibast</t>
        </is>
      </c>
      <c r="W10">
        <f>HYPERLINK("https://klasma.github.io/Logging_1982/artfynd/A 7385-2023 artfynd.xlsx", "A 7385-2023")</f>
        <v/>
      </c>
      <c r="X10">
        <f>HYPERLINK("https://klasma.github.io/Logging_1982/kartor/A 7385-2023 karta.png", "A 7385-2023")</f>
        <v/>
      </c>
      <c r="Y10">
        <f>HYPERLINK("https://klasma.github.io/Logging_1982/kartor_geotiff/A 7385-2023 georefererad karta.tif", "A 7385-2023")</f>
        <v/>
      </c>
      <c r="AA10">
        <f>HYPERLINK("https://klasma.github.io/Logging_1982/klagomål/A 7385-2023 FSC-klagomål.docx", "A 7385-2023")</f>
        <v/>
      </c>
      <c r="AB10">
        <f>HYPERLINK("https://klasma.github.io/Logging_1982/klagomålsmail/A 7385-2023 FSC-klagomål mail.docx", "A 7385-2023")</f>
        <v/>
      </c>
      <c r="AC10">
        <f>HYPERLINK("https://klasma.github.io/Logging_1982/tillsyn/A 7385-2023 tillsynsbegäran.docx", "A 7385-2023")</f>
        <v/>
      </c>
      <c r="AD10">
        <f>HYPERLINK("https://klasma.github.io/Logging_1982/tillsynsmail/A 7385-2023 tillsynsbegäran mail.docx", "A 7385-2023")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46269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Ögonpyrola
Fläcknycklar</t>
        </is>
      </c>
      <c r="W11">
        <f>HYPERLINK("https://klasma.github.io/Logging_1982/artfynd/A 9956-2022 artfynd.xlsx", "A 9956-2022")</f>
        <v/>
      </c>
      <c r="X11">
        <f>HYPERLINK("https://klasma.github.io/Logging_1982/kartor/A 9956-2022 karta.png", "A 9956-2022")</f>
        <v/>
      </c>
      <c r="Y11">
        <f>HYPERLINK("https://klasma.github.io/Logging_1982/kartor_geotiff/A 9956-2022 georefererad karta.tif", "A 9956-2022")</f>
        <v/>
      </c>
      <c r="AA11">
        <f>HYPERLINK("https://klasma.github.io/Logging_1982/klagomål/A 9956-2022 FSC-klagomål.docx", "A 9956-2022")</f>
        <v/>
      </c>
      <c r="AB11">
        <f>HYPERLINK("https://klasma.github.io/Logging_1982/klagomålsmail/A 9956-2022 FSC-klagomål mail.docx", "A 9956-2022")</f>
        <v/>
      </c>
      <c r="AC11">
        <f>HYPERLINK("https://klasma.github.io/Logging_1982/tillsyn/A 9956-2022 tillsynsbegäran.docx", "A 9956-2022")</f>
        <v/>
      </c>
      <c r="AD11">
        <f>HYPERLINK("https://klasma.github.io/Logging_1982/tillsynsmail/A 9956-2022 tillsynsbegäran mail.docx", "A 9956-2022")</f>
        <v/>
      </c>
    </row>
    <row r="12" ht="15" customHeight="1">
      <c r="A12" t="inlineStr">
        <is>
          <t>A 29532-2022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44753</v>
      </c>
      <c r="E12" s="1" t="n">
        <v>46269</v>
      </c>
      <c r="F12" t="inlineStr">
        <is>
          <t>VÄSTMANLANDS LÄN</t>
        </is>
      </c>
      <c r="G12" t="inlineStr">
        <is>
          <t>FAGERSTA</t>
        </is>
      </c>
      <c r="I12" t="n">
        <v>4.7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Backruta
Hagfingersvamp</t>
        </is>
      </c>
      <c r="W12">
        <f>HYPERLINK("https://klasma.github.io/Logging_1982/artfynd/A 29532-2022 artfynd.xlsx", "A 29532-2022")</f>
        <v/>
      </c>
      <c r="X12">
        <f>HYPERLINK("https://klasma.github.io/Logging_1982/kartor/A 29532-2022 karta.png", "A 29532-2022")</f>
        <v/>
      </c>
      <c r="Y12">
        <f>HYPERLINK("https://klasma.github.io/Logging_1982/kartor_geotiff/A 29532-2022 georefererad karta.tif", "A 29532-2022")</f>
        <v/>
      </c>
      <c r="AA12">
        <f>HYPERLINK("https://klasma.github.io/Logging_1982/klagomål/A 29532-2022 FSC-klagomål.docx", "A 29532-2022")</f>
        <v/>
      </c>
      <c r="AB12">
        <f>HYPERLINK("https://klasma.github.io/Logging_1982/klagomålsmail/A 29532-2022 FSC-klagomål mail.docx", "A 29532-2022")</f>
        <v/>
      </c>
      <c r="AC12">
        <f>HYPERLINK("https://klasma.github.io/Logging_1982/tillsyn/A 29532-2022 tillsynsbegäran.docx", "A 29532-2022")</f>
        <v/>
      </c>
      <c r="AD12">
        <f>HYPERLINK("https://klasma.github.io/Logging_1982/tillsynsmail/A 29532-2022 tillsynsbegäran mail.docx", "A 29532-2022")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46269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46269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46269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46269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46269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Fläcknycklar</t>
        </is>
      </c>
      <c r="W17">
        <f>HYPERLINK("https://klasma.github.io/Logging_1982/artfynd/A 19550-2025 artfynd.xlsx", "A 19550-2025")</f>
        <v/>
      </c>
      <c r="X17">
        <f>HYPERLINK("https://klasma.github.io/Logging_1982/kartor/A 19550-2025 karta.png", "A 19550-2025")</f>
        <v/>
      </c>
      <c r="Y17">
        <f>HYPERLINK("https://klasma.github.io/Logging_1982/kartor_geotiff/A 19550-2025 georefererad karta.tif", "A 19550-2025")</f>
        <v/>
      </c>
      <c r="AA17">
        <f>HYPERLINK("https://klasma.github.io/Logging_1982/klagomål/A 19550-2025 FSC-klagomål.docx", "A 19550-2025")</f>
        <v/>
      </c>
      <c r="AB17">
        <f>HYPERLINK("https://klasma.github.io/Logging_1982/klagomålsmail/A 19550-2025 FSC-klagomål mail.docx", "A 19550-2025")</f>
        <v/>
      </c>
      <c r="AC17">
        <f>HYPERLINK("https://klasma.github.io/Logging_1982/tillsyn/A 19550-2025 tillsynsbegäran.docx", "A 19550-2025")</f>
        <v/>
      </c>
      <c r="AD17">
        <f>HYPERLINK("https://klasma.github.io/Logging_1982/tillsynsmail/A 19550-2025 tillsynsbegäran mail.docx", "A 19550-2025")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46269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46269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46269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46269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46269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46269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46269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46269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46269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46269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46269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51936-2022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44872</v>
      </c>
      <c r="E29" s="1" t="n">
        <v>46269</v>
      </c>
      <c r="F29" t="inlineStr">
        <is>
          <t>VÄSTMANLANDS LÄN</t>
        </is>
      </c>
      <c r="G29" t="inlineStr">
        <is>
          <t>FAGERSTA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46269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29510-2022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44753</v>
      </c>
      <c r="E31" s="1" t="n">
        <v>46269</v>
      </c>
      <c r="F31" t="inlineStr">
        <is>
          <t>VÄSTMANLANDS LÄN</t>
        </is>
      </c>
      <c r="G31" t="inlineStr">
        <is>
          <t>FAGERSTA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29513-2022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46269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46269</v>
      </c>
      <c r="F33" t="inlineStr">
        <is>
          <t>VÄSTMANLANDS LÄN</t>
        </is>
      </c>
      <c r="G33" t="inlineStr">
        <is>
          <t>FAGERSTA</t>
        </is>
      </c>
      <c r="I33" t="n">
        <v>8.5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44729</v>
      </c>
      <c r="E34" s="1" t="n">
        <v>46269</v>
      </c>
      <c r="F34" t="inlineStr">
        <is>
          <t>VÄSTMANLANDS LÄN</t>
        </is>
      </c>
      <c r="G34" t="inlineStr">
        <is>
          <t>FAGERSTA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46269</v>
      </c>
      <c r="F35" t="inlineStr">
        <is>
          <t>VÄSTMANLANDS LÄN</t>
        </is>
      </c>
      <c r="G35" t="inlineStr">
        <is>
          <t>FAGERSTA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46269</v>
      </c>
      <c r="F36" t="inlineStr">
        <is>
          <t>VÄSTMANLANDS LÄN</t>
        </is>
      </c>
      <c r="G36" t="inlineStr">
        <is>
          <t>FAGERSTA</t>
        </is>
      </c>
      <c r="H36" t="inlineStr">
        <is>
          <t>Kommuner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68174-2021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44526</v>
      </c>
      <c r="E37" s="1" t="n">
        <v>46269</v>
      </c>
      <c r="F37" t="inlineStr">
        <is>
          <t>VÄSTMANLANDS LÄN</t>
        </is>
      </c>
      <c r="G37" t="inlineStr">
        <is>
          <t>FAGERSTA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22482-2023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45071</v>
      </c>
      <c r="E38" s="1" t="n">
        <v>46269</v>
      </c>
      <c r="F38" t="inlineStr">
        <is>
          <t>VÄSTMANLANDS LÄN</t>
        </is>
      </c>
      <c r="G38" t="inlineStr">
        <is>
          <t>FAGERSTA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46269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12121-2023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44998</v>
      </c>
      <c r="E40" s="1" t="n">
        <v>46269</v>
      </c>
      <c r="F40" t="inlineStr">
        <is>
          <t>VÄSTMANLANDS LÄN</t>
        </is>
      </c>
      <c r="G40" t="inlineStr">
        <is>
          <t>FAGERSTA</t>
        </is>
      </c>
      <c r="H40" t="inlineStr">
        <is>
          <t>Övriga Aktiebolag</t>
        </is>
      </c>
      <c r="I40" t="n">
        <v>6.9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22118-2025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45785</v>
      </c>
      <c r="E41" s="1" t="n">
        <v>46269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45785</v>
      </c>
      <c r="E42" s="1" t="n">
        <v>46269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45627</v>
      </c>
      <c r="E43" s="1" t="n">
        <v>46269</v>
      </c>
      <c r="F43" t="inlineStr">
        <is>
          <t>VÄSTMANLANDS LÄN</t>
        </is>
      </c>
      <c r="G43" t="inlineStr">
        <is>
          <t>FAGERSTA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58594-2024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45635</v>
      </c>
      <c r="E44" s="1" t="n">
        <v>46269</v>
      </c>
      <c r="F44" t="inlineStr">
        <is>
          <t>VÄSTMANLANDS LÄN</t>
        </is>
      </c>
      <c r="G44" t="inlineStr">
        <is>
          <t>FAGERSTA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12125-2023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44998</v>
      </c>
      <c r="E45" s="1" t="n">
        <v>46269</v>
      </c>
      <c r="F45" t="inlineStr">
        <is>
          <t>VÄSTMANLANDS LÄN</t>
        </is>
      </c>
      <c r="G45" t="inlineStr">
        <is>
          <t>FAGERSTA</t>
        </is>
      </c>
      <c r="H45" t="inlineStr">
        <is>
          <t>Övriga Aktiebolag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46269</v>
      </c>
      <c r="F46" t="inlineStr">
        <is>
          <t>VÄSTMANLANDS LÄN</t>
        </is>
      </c>
      <c r="G46" t="inlineStr">
        <is>
          <t>FAGERSTA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31231-2024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45503</v>
      </c>
      <c r="E47" s="1" t="n">
        <v>46269</v>
      </c>
      <c r="F47" t="inlineStr">
        <is>
          <t>VÄSTMANLANDS LÄN</t>
        </is>
      </c>
      <c r="G47" t="inlineStr">
        <is>
          <t>FAGERSTA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20909-2024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45439</v>
      </c>
      <c r="E48" s="1" t="n">
        <v>46269</v>
      </c>
      <c r="F48" t="inlineStr">
        <is>
          <t>VÄSTMANLANDS LÄN</t>
        </is>
      </c>
      <c r="G48" t="inlineStr">
        <is>
          <t>FAGERSTA</t>
        </is>
      </c>
      <c r="I48" t="n">
        <v>6.9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26652-2025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46269</v>
      </c>
      <c r="F49" t="inlineStr">
        <is>
          <t>VÄSTMANLANDS LÄN</t>
        </is>
      </c>
      <c r="G49" t="inlineStr">
        <is>
          <t>FAGERSTA</t>
        </is>
      </c>
      <c r="H49" t="inlineStr">
        <is>
          <t>Bergvik skog väst AB</t>
        </is>
      </c>
      <c r="I49" t="n">
        <v>22.6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46269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45722</v>
      </c>
      <c r="E51" s="1" t="n">
        <v>46269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7380-2025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45705</v>
      </c>
      <c r="E52" s="1" t="n">
        <v>46269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44919</v>
      </c>
      <c r="E53" s="1" t="n">
        <v>46269</v>
      </c>
      <c r="F53" t="inlineStr">
        <is>
          <t>VÄSTMANLANDS LÄN</t>
        </is>
      </c>
      <c r="G53" t="inlineStr">
        <is>
          <t>FAGERSTA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46269</v>
      </c>
      <c r="F54" t="inlineStr">
        <is>
          <t>VÄSTMANLANDS LÄN</t>
        </is>
      </c>
      <c r="G54" t="inlineStr">
        <is>
          <t>FAGERSTA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44739</v>
      </c>
      <c r="E55" s="1" t="n">
        <v>46269</v>
      </c>
      <c r="F55" t="inlineStr">
        <is>
          <t>VÄSTMANLANDS LÄN</t>
        </is>
      </c>
      <c r="G55" t="inlineStr">
        <is>
          <t>FAGERSTA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15812-2025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45748</v>
      </c>
      <c r="E56" s="1" t="n">
        <v>46269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33238-2025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45840</v>
      </c>
      <c r="E57" s="1" t="n">
        <v>46269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33232-2025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45840</v>
      </c>
      <c r="E58" s="1" t="n">
        <v>46269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33236-2025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45840</v>
      </c>
      <c r="E59" s="1" t="n">
        <v>46269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49311-2022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44861</v>
      </c>
      <c r="E60" s="1" t="n">
        <v>46269</v>
      </c>
      <c r="F60" t="inlineStr">
        <is>
          <t>VÄSTMANLANDS LÄN</t>
        </is>
      </c>
      <c r="G60" t="inlineStr">
        <is>
          <t>FAGERSTA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34374-2025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45846</v>
      </c>
      <c r="E61" s="1" t="n">
        <v>46269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45819</v>
      </c>
      <c r="E62" s="1" t="n">
        <v>46269</v>
      </c>
      <c r="F62" t="inlineStr">
        <is>
          <t>VÄSTMANLANDS LÄN</t>
        </is>
      </c>
      <c r="G62" t="inlineStr">
        <is>
          <t>FAGERSTA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46269</v>
      </c>
      <c r="F63" t="inlineStr">
        <is>
          <t>VÄSTMANLANDS LÄN</t>
        </is>
      </c>
      <c r="G63" t="inlineStr">
        <is>
          <t>FAGERSTA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21679-2024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45442</v>
      </c>
      <c r="E64" s="1" t="n">
        <v>46269</v>
      </c>
      <c r="F64" t="inlineStr">
        <is>
          <t>VÄSTMANLANDS LÄN</t>
        </is>
      </c>
      <c r="G64" t="inlineStr">
        <is>
          <t>FAGERSTA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22484-2023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45071</v>
      </c>
      <c r="E65" s="1" t="n">
        <v>46269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33357-2023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45128</v>
      </c>
      <c r="E66" s="1" t="n">
        <v>46269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54804-2023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45236</v>
      </c>
      <c r="E67" s="1" t="n">
        <v>46269</v>
      </c>
      <c r="F67" t="inlineStr">
        <is>
          <t>VÄSTMANLANDS LÄN</t>
        </is>
      </c>
      <c r="G67" t="inlineStr">
        <is>
          <t>FAGERSTA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22323-2024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46269</v>
      </c>
      <c r="F68" t="inlineStr">
        <is>
          <t>VÄSTMANLANDS LÄN</t>
        </is>
      </c>
      <c r="G68" t="inlineStr">
        <is>
          <t>FAGERSTA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45390-2023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45193</v>
      </c>
      <c r="E69" s="1" t="n">
        <v>46269</v>
      </c>
      <c r="F69" t="inlineStr">
        <is>
          <t>VÄSTMANLANDS LÄN</t>
        </is>
      </c>
      <c r="G69" t="inlineStr">
        <is>
          <t>FAGERSTA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17893-2026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46122</v>
      </c>
      <c r="E70" s="1" t="n">
        <v>46269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46269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46269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19825-2026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46135</v>
      </c>
      <c r="E73" s="1" t="n">
        <v>46269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56739-2021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44481</v>
      </c>
      <c r="E74" s="1" t="n">
        <v>46269</v>
      </c>
      <c r="F74" t="inlineStr">
        <is>
          <t>VÄSTMANLANDS LÄN</t>
        </is>
      </c>
      <c r="G74" t="inlineStr">
        <is>
          <t>FAGERSTA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20583-2026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46140</v>
      </c>
      <c r="E75" s="1" t="n">
        <v>46269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33007-2023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45125</v>
      </c>
      <c r="E76" s="1" t="n">
        <v>46269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45627</v>
      </c>
      <c r="E77" s="1" t="n">
        <v>46269</v>
      </c>
      <c r="F77" t="inlineStr">
        <is>
          <t>VÄSTMANLANDS LÄN</t>
        </is>
      </c>
      <c r="G77" t="inlineStr">
        <is>
          <t>FAGERSTA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46269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16.8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37955-2023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45160</v>
      </c>
      <c r="E79" s="1" t="n">
        <v>46269</v>
      </c>
      <c r="F79" t="inlineStr">
        <is>
          <t>VÄSTMANLANDS LÄN</t>
        </is>
      </c>
      <c r="G79" t="inlineStr">
        <is>
          <t>FAGERSTA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45925</v>
      </c>
      <c r="E80" s="1" t="n">
        <v>46269</v>
      </c>
      <c r="F80" t="inlineStr">
        <is>
          <t>VÄSTMANLANDS LÄN</t>
        </is>
      </c>
      <c r="G80" t="inlineStr">
        <is>
          <t>FAGERSTA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45635</v>
      </c>
      <c r="E81" s="1" t="n">
        <v>46269</v>
      </c>
      <c r="F81" t="inlineStr">
        <is>
          <t>VÄSTMANLANDS LÄN</t>
        </is>
      </c>
      <c r="G81" t="inlineStr">
        <is>
          <t>FAGERSTA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45821</v>
      </c>
      <c r="E82" s="1" t="n">
        <v>46269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46269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46269</v>
      </c>
      <c r="F84" t="inlineStr">
        <is>
          <t>VÄSTMANLANDS LÄN</t>
        </is>
      </c>
      <c r="G84" t="inlineStr">
        <is>
          <t>FAGERSTA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13697-2025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45737</v>
      </c>
      <c r="E85" s="1" t="n">
        <v>46269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45627</v>
      </c>
      <c r="E86" s="1" t="n">
        <v>46269</v>
      </c>
      <c r="F86" t="inlineStr">
        <is>
          <t>VÄSTMANLANDS LÄN</t>
        </is>
      </c>
      <c r="G86" t="inlineStr">
        <is>
          <t>FAGERSTA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46269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46269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46269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46269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46269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46269</v>
      </c>
      <c r="F92" t="inlineStr">
        <is>
          <t>VÄSTMANLANDS LÄN</t>
        </is>
      </c>
      <c r="G92" t="inlineStr">
        <is>
          <t>FAGERSTA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41644-2025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45902</v>
      </c>
      <c r="E93" s="1" t="n">
        <v>46269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46269</v>
      </c>
      <c r="F94" t="inlineStr">
        <is>
          <t>VÄSTMANLANDS LÄN</t>
        </is>
      </c>
      <c r="G94" t="inlineStr">
        <is>
          <t>FAGERSTA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46269</v>
      </c>
      <c r="F95" t="inlineStr">
        <is>
          <t>VÄSTMANLANDS LÄN</t>
        </is>
      </c>
      <c r="G95" t="inlineStr">
        <is>
          <t>FAGERSTA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45972</v>
      </c>
      <c r="E96" s="1" t="n">
        <v>46269</v>
      </c>
      <c r="F96" t="inlineStr">
        <is>
          <t>VÄSTMANLANDS LÄN</t>
        </is>
      </c>
      <c r="G96" t="inlineStr">
        <is>
          <t>FAGERSTA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46269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63305-2025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46010</v>
      </c>
      <c r="E98" s="1" t="n">
        <v>46269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46269</v>
      </c>
      <c r="F99" t="inlineStr">
        <is>
          <t>VÄSTMANLANDS LÄN</t>
        </is>
      </c>
      <c r="G99" t="inlineStr">
        <is>
          <t>FAGERSTA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46269</v>
      </c>
      <c r="F100" t="inlineStr">
        <is>
          <t>VÄSTMANLANDS LÄN</t>
        </is>
      </c>
      <c r="G100" t="inlineStr">
        <is>
          <t>FAGERSTA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46269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32433-2026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46269</v>
      </c>
      <c r="F102" t="inlineStr">
        <is>
          <t>VÄSTMANLANDS LÄN</t>
        </is>
      </c>
      <c r="G102" t="inlineStr">
        <is>
          <t>FAGERSTA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33191-2026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46269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46246</v>
      </c>
      <c r="E104" s="1" t="n">
        <v>46269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7.3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46246</v>
      </c>
      <c r="E105" s="1" t="n">
        <v>46269</v>
      </c>
      <c r="F105" t="inlineStr">
        <is>
          <t>VÄSTMANLANDS LÄN</t>
        </is>
      </c>
      <c r="G105" t="inlineStr">
        <is>
          <t>FAGERSTA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28249-2022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46269</v>
      </c>
      <c r="F106" t="inlineStr">
        <is>
          <t>VÄSTMANLANDS LÄN</t>
        </is>
      </c>
      <c r="G106" t="inlineStr">
        <is>
          <t>FAGERSTA</t>
        </is>
      </c>
      <c r="H106" t="inlineStr">
        <is>
          <t>Kommuner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44994</v>
      </c>
      <c r="E107" s="1" t="n">
        <v>46269</v>
      </c>
      <c r="F107" t="inlineStr">
        <is>
          <t>VÄSTMANLANDS LÄN</t>
        </is>
      </c>
      <c r="G107" t="inlineStr">
        <is>
          <t>FAGERSTA</t>
        </is>
      </c>
      <c r="H107" t="inlineStr">
        <is>
          <t>Kommuner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44781</v>
      </c>
      <c r="E108" s="1" t="n">
        <v>46269</v>
      </c>
      <c r="F108" t="inlineStr">
        <is>
          <t>VÄSTMANLANDS LÄN</t>
        </is>
      </c>
      <c r="G108" t="inlineStr">
        <is>
          <t>FAGERSTA</t>
        </is>
      </c>
      <c r="H108" t="inlineStr">
        <is>
          <t>Kommuner</t>
        </is>
      </c>
      <c r="I108" t="n">
        <v>22.9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60374-2025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45995</v>
      </c>
      <c r="E109" s="1" t="n">
        <v>46269</v>
      </c>
      <c r="F109" t="inlineStr">
        <is>
          <t>VÄSTMANLANDS LÄN</t>
        </is>
      </c>
      <c r="G109" t="inlineStr">
        <is>
          <t>FAGERSTA</t>
        </is>
      </c>
      <c r="H109" t="inlineStr">
        <is>
          <t>Kommuner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10526-2026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46077</v>
      </c>
      <c r="E110" s="1" t="n">
        <v>46269</v>
      </c>
      <c r="F110" t="inlineStr">
        <is>
          <t>VÄSTMANLANDS LÄN</t>
        </is>
      </c>
      <c r="G110" t="inlineStr">
        <is>
          <t>FAGERSTA</t>
        </is>
      </c>
      <c r="H110" t="inlineStr">
        <is>
          <t>Bergvik skog väst AB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46077</v>
      </c>
      <c r="E111" s="1" t="n">
        <v>46269</v>
      </c>
      <c r="F111" t="inlineStr">
        <is>
          <t>VÄSTMANLANDS LÄN</t>
        </is>
      </c>
      <c r="G111" t="inlineStr">
        <is>
          <t>FAGERSTA</t>
        </is>
      </c>
      <c r="H111" t="inlineStr">
        <is>
          <t>Bergvik skog väst AB</t>
        </is>
      </c>
      <c r="I111" t="n">
        <v>19.5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46078</v>
      </c>
      <c r="E112" s="1" t="n">
        <v>46269</v>
      </c>
      <c r="F112" t="inlineStr">
        <is>
          <t>VÄSTMANLANDS LÄN</t>
        </is>
      </c>
      <c r="G112" t="inlineStr">
        <is>
          <t>FAGERSTA</t>
        </is>
      </c>
      <c r="H112" t="inlineStr">
        <is>
          <t>Bergvik skog väst AB</t>
        </is>
      </c>
      <c r="I112" t="n">
        <v>18.6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34766-2026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46258</v>
      </c>
      <c r="E113" s="1" t="n">
        <v>46269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46213</v>
      </c>
      <c r="E114" s="1" t="n">
        <v>46269</v>
      </c>
      <c r="F114" t="inlineStr">
        <is>
          <t>VÄSTMANLANDS LÄN</t>
        </is>
      </c>
      <c r="G114" t="inlineStr">
        <is>
          <t>FAGERSTA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46269</v>
      </c>
      <c r="F115" t="inlineStr">
        <is>
          <t>VÄSTMANLANDS LÄN</t>
        </is>
      </c>
      <c r="G115" t="inlineStr">
        <is>
          <t>FAGERSTA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45627</v>
      </c>
      <c r="E116" s="1" t="n">
        <v>46269</v>
      </c>
      <c r="F116" t="inlineStr">
        <is>
          <t>VÄSTMANLANDS LÄN</t>
        </is>
      </c>
      <c r="G116" t="inlineStr">
        <is>
          <t>FAGERSTA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31482-2026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46223</v>
      </c>
      <c r="E117" s="1" t="n">
        <v>46269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46269</v>
      </c>
      <c r="F118" t="inlineStr">
        <is>
          <t>VÄSTMANLANDS LÄN</t>
        </is>
      </c>
      <c r="G118" t="inlineStr">
        <is>
          <t>FAGERSTA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46122</v>
      </c>
      <c r="E119" s="1" t="n">
        <v>46269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46268</v>
      </c>
      <c r="E120" s="1" t="n">
        <v>46269</v>
      </c>
      <c r="F120" t="inlineStr">
        <is>
          <t>VÄSTMANLANDS LÄN</t>
        </is>
      </c>
      <c r="G120" t="inlineStr">
        <is>
          <t>FAGERSTA</t>
        </is>
      </c>
      <c r="H120" t="inlineStr">
        <is>
          <t>Kommuner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18782-2026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46128</v>
      </c>
      <c r="E121" s="1" t="n">
        <v>46269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18781-2026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46128</v>
      </c>
      <c r="E122" s="1" t="n">
        <v>46269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8.699999999999999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18783-2026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46128</v>
      </c>
      <c r="E123" s="1" t="n">
        <v>46269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45762</v>
      </c>
      <c r="E124" s="1" t="n">
        <v>46269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46269</v>
      </c>
      <c r="F125" t="inlineStr">
        <is>
          <t>VÄSTMANLANDS LÄN</t>
        </is>
      </c>
      <c r="G125" t="inlineStr">
        <is>
          <t>FAGERSTA</t>
        </is>
      </c>
      <c r="H125" t="inlineStr">
        <is>
          <t>Övriga Aktiebolag</t>
        </is>
      </c>
      <c r="I125" t="n">
        <v>14.6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46269</v>
      </c>
      <c r="F126" t="inlineStr">
        <is>
          <t>VÄSTMANLANDS LÄN</t>
        </is>
      </c>
      <c r="G126" t="inlineStr">
        <is>
          <t>FAGERSTA</t>
        </is>
      </c>
      <c r="I126" t="n">
        <v>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45632</v>
      </c>
      <c r="E127" s="1" t="n">
        <v>46269</v>
      </c>
      <c r="F127" t="inlineStr">
        <is>
          <t>VÄSTMANLANDS LÄN</t>
        </is>
      </c>
      <c r="G127" t="inlineStr">
        <is>
          <t>FAGERSTA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30813-2022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44764</v>
      </c>
      <c r="E128" s="1" t="n">
        <v>46269</v>
      </c>
      <c r="F128" t="inlineStr">
        <is>
          <t>VÄSTMANLANDS LÄN</t>
        </is>
      </c>
      <c r="G128" t="inlineStr">
        <is>
          <t>FAGERSTA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2078-2025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46269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2080-2025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46269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2079-2025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45840</v>
      </c>
      <c r="E131" s="1" t="n">
        <v>46269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2121-2025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45846</v>
      </c>
      <c r="E132" s="1" t="n">
        <v>46269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3554-2025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46010</v>
      </c>
      <c r="E133" s="1" t="n">
        <v>46269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1073-2026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46128</v>
      </c>
      <c r="E134" s="1" t="n">
        <v>46269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1143-2026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46135</v>
      </c>
      <c r="E135" s="1" t="n">
        <v>46269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S 2213-2026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46258</v>
      </c>
      <c r="E136" s="1" t="n">
        <v>46269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2026-09-04T02:03:54Z</dcterms:created>
  <dcterms:modified xmlns:dcterms="http://purl.org/dc/terms/" xmlns:xsi="http://www.w3.org/2001/XMLSchema-instance" xsi:type="dcterms:W3CDTF">2026-09-04T02:03:54Z</dcterms:modified>
</cp:coreProperties>
</file>