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45719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45719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45719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45719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45719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45719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45719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20831-2019</t>
        </is>
      </c>
      <c r="B9" s="1" t="n">
        <v>43574</v>
      </c>
      <c r="C9" s="1" t="n">
        <v>45719</v>
      </c>
      <c r="D9" t="inlineStr">
        <is>
          <t>VÄSTMANLANDS LÄN</t>
        </is>
      </c>
      <c r="E9" t="inlineStr">
        <is>
          <t>FAGERSTA</t>
        </is>
      </c>
      <c r="G9" t="n">
        <v>13.1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HYPERLINK("https://klasma.github.io/Logging_1982/artfynd/A 20831-2019 artfynd.xlsx", "A 20831-2019")</f>
        <v/>
      </c>
      <c r="T9">
        <f>HYPERLINK("https://klasma.github.io/Logging_1982/kartor/A 20831-2019 karta.png", "A 20831-2019")</f>
        <v/>
      </c>
      <c r="V9">
        <f>HYPERLINK("https://klasma.github.io/Logging_1982/klagomål/A 20831-2019 FSC-klagomål.docx", "A 20831-2019")</f>
        <v/>
      </c>
      <c r="W9">
        <f>HYPERLINK("https://klasma.github.io/Logging_1982/klagomålsmail/A 20831-2019 FSC-klagomål mail.docx", "A 20831-2019")</f>
        <v/>
      </c>
      <c r="X9">
        <f>HYPERLINK("https://klasma.github.io/Logging_1982/tillsyn/A 20831-2019 tillsynsbegäran.docx", "A 20831-2019")</f>
        <v/>
      </c>
      <c r="Y9">
        <f>HYPERLINK("https://klasma.github.io/Logging_1982/tillsynsmail/A 20831-2019 tillsynsbegäran mail.docx", "A 20831-2019")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45719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28435-2022</t>
        </is>
      </c>
      <c r="B11" s="1" t="n">
        <v>44747</v>
      </c>
      <c r="C11" s="1" t="n">
        <v>45719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Stjärntagging</t>
        </is>
      </c>
      <c r="S11">
        <f>HYPERLINK("https://klasma.github.io/Logging_1982/artfynd/A 28435-2022 artfynd.xlsx", "A 28435-2022")</f>
        <v/>
      </c>
      <c r="T11">
        <f>HYPERLINK("https://klasma.github.io/Logging_1982/kartor/A 28435-2022 karta.png", "A 28435-2022")</f>
        <v/>
      </c>
      <c r="V11">
        <f>HYPERLINK("https://klasma.github.io/Logging_1982/klagomål/A 28435-2022 FSC-klagomål.docx", "A 28435-2022")</f>
        <v/>
      </c>
      <c r="W11">
        <f>HYPERLINK("https://klasma.github.io/Logging_1982/klagomålsmail/A 28435-2022 FSC-klagomål mail.docx", "A 28435-2022")</f>
        <v/>
      </c>
      <c r="X11">
        <f>HYPERLINK("https://klasma.github.io/Logging_1982/tillsyn/A 28435-2022 tillsynsbegäran.docx", "A 28435-2022")</f>
        <v/>
      </c>
      <c r="Y11">
        <f>HYPERLINK("https://klasma.github.io/Logging_1982/tillsynsmail/A 28435-2022 tillsynsbegäran mail.docx", "A 28435-2022")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45719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45719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15631-2023</t>
        </is>
      </c>
      <c r="B14" s="1" t="n">
        <v>45021</v>
      </c>
      <c r="C14" s="1" t="n">
        <v>45719</v>
      </c>
      <c r="D14" t="inlineStr">
        <is>
          <t>VÄSTMANLANDS LÄN</t>
        </is>
      </c>
      <c r="E14" t="inlineStr">
        <is>
          <t>FAGERSTA</t>
        </is>
      </c>
      <c r="F14" t="inlineStr">
        <is>
          <t>Bergvik skog väst AB</t>
        </is>
      </c>
      <c r="G14" t="n">
        <v>33.1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HYPERLINK("https://klasma.github.io/Logging_1982/artfynd/A 15631-2023 artfynd.xlsx", "A 15631-2023")</f>
        <v/>
      </c>
      <c r="T14">
        <f>HYPERLINK("https://klasma.github.io/Logging_1982/kartor/A 15631-2023 karta.png", "A 15631-2023")</f>
        <v/>
      </c>
      <c r="V14">
        <f>HYPERLINK("https://klasma.github.io/Logging_1982/klagomål/A 15631-2023 FSC-klagomål.docx", "A 15631-2023")</f>
        <v/>
      </c>
      <c r="W14">
        <f>HYPERLINK("https://klasma.github.io/Logging_1982/klagomålsmail/A 15631-2023 FSC-klagomål mail.docx", "A 15631-2023")</f>
        <v/>
      </c>
      <c r="X14">
        <f>HYPERLINK("https://klasma.github.io/Logging_1982/tillsyn/A 15631-2023 tillsynsbegäran.docx", "A 15631-2023")</f>
        <v/>
      </c>
      <c r="Y14">
        <f>HYPERLINK("https://klasma.github.io/Logging_1982/tillsynsmail/A 15631-2023 tillsynsbegäran mail.docx", "A 15631-2023")</f>
        <v/>
      </c>
      <c r="Z14">
        <f>HYPERLINK("https://klasma.github.io/Logging_1982/fåglar/A 15631-2023 prioriterade fågelarter.docx", "A 15631-2023")</f>
        <v/>
      </c>
    </row>
    <row r="15" ht="15" customHeight="1">
      <c r="A15" t="inlineStr">
        <is>
          <t>A 19218-2023</t>
        </is>
      </c>
      <c r="B15" s="1" t="n">
        <v>45048</v>
      </c>
      <c r="C15" s="1" t="n">
        <v>45719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HYPERLINK("https://klasma.github.io/Logging_1982/artfynd/A 19218-2023 artfynd.xlsx", "A 19218-2023")</f>
        <v/>
      </c>
      <c r="T15">
        <f>HYPERLINK("https://klasma.github.io/Logging_1982/kartor/A 19218-2023 karta.png", "A 19218-2023")</f>
        <v/>
      </c>
      <c r="V15">
        <f>HYPERLINK("https://klasma.github.io/Logging_1982/klagomål/A 19218-2023 FSC-klagomål.docx", "A 19218-2023")</f>
        <v/>
      </c>
      <c r="W15">
        <f>HYPERLINK("https://klasma.github.io/Logging_1982/klagomålsmail/A 19218-2023 FSC-klagomål mail.docx", "A 19218-2023")</f>
        <v/>
      </c>
      <c r="X15">
        <f>HYPERLINK("https://klasma.github.io/Logging_1982/tillsyn/A 19218-2023 tillsynsbegäran.docx", "A 19218-2023")</f>
        <v/>
      </c>
      <c r="Y15">
        <f>HYPERLINK("https://klasma.github.io/Logging_1982/tillsynsmail/A 19218-2023 tillsynsbegäran mail.docx", "A 19218-2023")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45719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51122-2024</t>
        </is>
      </c>
      <c r="B17" s="1" t="n">
        <v>45603</v>
      </c>
      <c r="C17" s="1" t="n">
        <v>45719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HYPERLINK("https://klasma.github.io/Logging_1982/artfynd/A 51122-2024 artfynd.xlsx", "A 51122-2024")</f>
        <v/>
      </c>
      <c r="T17">
        <f>HYPERLINK("https://klasma.github.io/Logging_1982/kartor/A 51122-2024 karta.png", "A 51122-2024")</f>
        <v/>
      </c>
      <c r="V17">
        <f>HYPERLINK("https://klasma.github.io/Logging_1982/klagomål/A 51122-2024 FSC-klagomål.docx", "A 51122-2024")</f>
        <v/>
      </c>
      <c r="W17">
        <f>HYPERLINK("https://klasma.github.io/Logging_1982/klagomålsmail/A 51122-2024 FSC-klagomål mail.docx", "A 51122-2024")</f>
        <v/>
      </c>
      <c r="X17">
        <f>HYPERLINK("https://klasma.github.io/Logging_1982/tillsyn/A 51122-2024 tillsynsbegäran.docx", "A 51122-2024")</f>
        <v/>
      </c>
      <c r="Y17">
        <f>HYPERLINK("https://klasma.github.io/Logging_1982/tillsynsmail/A 51122-2024 tillsynsbegäran mail.docx", "A 51122-2024")</f>
        <v/>
      </c>
    </row>
    <row r="18" ht="15" customHeight="1">
      <c r="A18" t="inlineStr">
        <is>
          <t>A 58307-2024</t>
        </is>
      </c>
      <c r="B18" s="1" t="n">
        <v>45632</v>
      </c>
      <c r="C18" s="1" t="n">
        <v>45719</v>
      </c>
      <c r="D18" t="inlineStr">
        <is>
          <t>VÄSTMANLANDS LÄN</t>
        </is>
      </c>
      <c r="E18" t="inlineStr">
        <is>
          <t>FAGERSTA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HYPERLINK("https://klasma.github.io/Logging_1982/artfynd/A 58307-2024 artfynd.xlsx", "A 58307-2024")</f>
        <v/>
      </c>
      <c r="T18">
        <f>HYPERLINK("https://klasma.github.io/Logging_1982/kartor/A 58307-2024 karta.png", "A 58307-2024")</f>
        <v/>
      </c>
      <c r="V18">
        <f>HYPERLINK("https://klasma.github.io/Logging_1982/klagomål/A 58307-2024 FSC-klagomål.docx", "A 58307-2024")</f>
        <v/>
      </c>
      <c r="W18">
        <f>HYPERLINK("https://klasma.github.io/Logging_1982/klagomålsmail/A 58307-2024 FSC-klagomål mail.docx", "A 58307-2024")</f>
        <v/>
      </c>
      <c r="X18">
        <f>HYPERLINK("https://klasma.github.io/Logging_1982/tillsyn/A 58307-2024 tillsynsbegäran.docx", "A 58307-2024")</f>
        <v/>
      </c>
      <c r="Y18">
        <f>HYPERLINK("https://klasma.github.io/Logging_1982/tillsynsmail/A 58307-2024 tillsynsbegäran mail.docx", "A 58307-2024")</f>
        <v/>
      </c>
    </row>
    <row r="19" ht="15" customHeight="1">
      <c r="A19" t="inlineStr">
        <is>
          <t>A 9803-2025</t>
        </is>
      </c>
      <c r="B19" s="1" t="n">
        <v>45716</v>
      </c>
      <c r="C19" s="1" t="n">
        <v>45719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Tallbit</t>
        </is>
      </c>
      <c r="S19">
        <f>HYPERLINK("https://klasma.github.io/Logging_1982/artfynd/A 9803-2025 artfynd.xlsx", "A 9803-2025")</f>
        <v/>
      </c>
      <c r="T19">
        <f>HYPERLINK("https://klasma.github.io/Logging_1982/kartor/A 9803-2025 karta.png", "A 9803-2025")</f>
        <v/>
      </c>
      <c r="V19">
        <f>HYPERLINK("https://klasma.github.io/Logging_1982/klagomål/A 9803-2025 FSC-klagomål.docx", "A 9803-2025")</f>
        <v/>
      </c>
      <c r="W19">
        <f>HYPERLINK("https://klasma.github.io/Logging_1982/klagomålsmail/A 9803-2025 FSC-klagomål mail.docx", "A 9803-2025")</f>
        <v/>
      </c>
      <c r="X19">
        <f>HYPERLINK("https://klasma.github.io/Logging_1982/tillsyn/A 9803-2025 tillsynsbegäran.docx", "A 9803-2025")</f>
        <v/>
      </c>
      <c r="Y19">
        <f>HYPERLINK("https://klasma.github.io/Logging_1982/tillsynsmail/A 9803-2025 tillsynsbegäran mail.docx", "A 9803-2025")</f>
        <v/>
      </c>
      <c r="Z19">
        <f>HYPERLINK("https://klasma.github.io/Logging_1982/fåglar/A 9803-2025 prioriterade fågelarter.docx", "A 9803-2025")</f>
        <v/>
      </c>
    </row>
    <row r="20" ht="15" customHeight="1">
      <c r="A20" t="inlineStr">
        <is>
          <t>A 19127-2019</t>
        </is>
      </c>
      <c r="B20" s="1" t="n">
        <v>43564</v>
      </c>
      <c r="C20" s="1" t="n">
        <v>45719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45719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45719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45719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45719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45719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45719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45719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45719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45719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45719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45719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45719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45719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45719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45719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45719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45719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45719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45719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45719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45719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45719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45719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45719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45719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45719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45719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45719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45719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45719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45719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45719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45719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45719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45719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45719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45719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45719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45719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45719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45719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45719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45719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45719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45719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45719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45719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45719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45719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45719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45719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45719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45719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45719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45719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45719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45719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45719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45719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45719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45719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45719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45719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45719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45719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45719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45719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45719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45719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45719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45719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45719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45719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45719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45719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45719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45719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45719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45719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45719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45719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45719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45719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45719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45719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45719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45719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45719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45719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45719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45719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45719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45719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45719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45719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45719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45719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45719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45719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45719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45719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45719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45719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45719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45719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45719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45719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45719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45719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45719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45719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45719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45719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45719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19991-2023</t>
        </is>
      </c>
      <c r="B135" s="1" t="n">
        <v>45054</v>
      </c>
      <c r="C135" s="1" t="n">
        <v>45719</v>
      </c>
      <c r="D135" t="inlineStr">
        <is>
          <t>VÄSTMANLANDS LÄN</t>
        </is>
      </c>
      <c r="E135" t="inlineStr">
        <is>
          <t>FAGERSTA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20071-2023</t>
        </is>
      </c>
      <c r="B136" s="1" t="n">
        <v>45054</v>
      </c>
      <c r="C136" s="1" t="n">
        <v>45719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22391-2023</t>
        </is>
      </c>
      <c r="B137" s="1" t="n">
        <v>45069</v>
      </c>
      <c r="C137" s="1" t="n">
        <v>45719</v>
      </c>
      <c r="D137" t="inlineStr">
        <is>
          <t>VÄSTMANLANDS LÄN</t>
        </is>
      </c>
      <c r="E137" t="inlineStr">
        <is>
          <t>FAGERSTA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22482-2023</t>
        </is>
      </c>
      <c r="B138" s="1" t="n">
        <v>45071</v>
      </c>
      <c r="C138" s="1" t="n">
        <v>45719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22484-2023</t>
        </is>
      </c>
      <c r="B139" s="1" t="n">
        <v>45071</v>
      </c>
      <c r="C139" s="1" t="n">
        <v>45719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22485-2023</t>
        </is>
      </c>
      <c r="B140" s="1" t="n">
        <v>45071</v>
      </c>
      <c r="C140" s="1" t="n">
        <v>45719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22483-2023</t>
        </is>
      </c>
      <c r="B141" s="1" t="n">
        <v>45071</v>
      </c>
      <c r="C141" s="1" t="n">
        <v>45719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22817-2023</t>
        </is>
      </c>
      <c r="B142" s="1" t="n">
        <v>45072</v>
      </c>
      <c r="C142" s="1" t="n">
        <v>45719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27201-2023</t>
        </is>
      </c>
      <c r="B143" s="1" t="n">
        <v>45096</v>
      </c>
      <c r="C143" s="1" t="n">
        <v>45719</v>
      </c>
      <c r="D143" t="inlineStr">
        <is>
          <t>VÄSTMANLANDS LÄN</t>
        </is>
      </c>
      <c r="E143" t="inlineStr">
        <is>
          <t>FAGERSTA</t>
        </is>
      </c>
      <c r="F143" t="inlineStr">
        <is>
          <t>Övriga Aktiebolag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27747-2023</t>
        </is>
      </c>
      <c r="B144" s="1" t="n">
        <v>45098</v>
      </c>
      <c r="C144" s="1" t="n">
        <v>45719</v>
      </c>
      <c r="D144" t="inlineStr">
        <is>
          <t>VÄSTMANLANDS LÄN</t>
        </is>
      </c>
      <c r="E144" t="inlineStr">
        <is>
          <t>FAGERSTA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27731-2023</t>
        </is>
      </c>
      <c r="B145" s="1" t="n">
        <v>45098</v>
      </c>
      <c r="C145" s="1" t="n">
        <v>45719</v>
      </c>
      <c r="D145" t="inlineStr">
        <is>
          <t>VÄSTMANLANDS LÄN</t>
        </is>
      </c>
      <c r="E145" t="inlineStr">
        <is>
          <t>FAGERSTA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27737-2023</t>
        </is>
      </c>
      <c r="B146" s="1" t="n">
        <v>45098</v>
      </c>
      <c r="C146" s="1" t="n">
        <v>45719</v>
      </c>
      <c r="D146" t="inlineStr">
        <is>
          <t>VÄSTMANLANDS LÄN</t>
        </is>
      </c>
      <c r="E146" t="inlineStr">
        <is>
          <t>FAGERSTA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30630-2023</t>
        </is>
      </c>
      <c r="B147" s="1" t="n">
        <v>45112</v>
      </c>
      <c r="C147" s="1" t="n">
        <v>45719</v>
      </c>
      <c r="D147" t="inlineStr">
        <is>
          <t>VÄSTMANLANDS LÄN</t>
        </is>
      </c>
      <c r="E147" t="inlineStr">
        <is>
          <t>FAGERSTA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33007-2023</t>
        </is>
      </c>
      <c r="B148" s="1" t="n">
        <v>45125</v>
      </c>
      <c r="C148" s="1" t="n">
        <v>45719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33357-2023</t>
        </is>
      </c>
      <c r="B149" s="1" t="n">
        <v>45128</v>
      </c>
      <c r="C149" s="1" t="n">
        <v>45719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33356-2023</t>
        </is>
      </c>
      <c r="B150" s="1" t="n">
        <v>45128</v>
      </c>
      <c r="C150" s="1" t="n">
        <v>45719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33785-2023</t>
        </is>
      </c>
      <c r="B151" s="1" t="n">
        <v>45131</v>
      </c>
      <c r="C151" s="1" t="n">
        <v>45719</v>
      </c>
      <c r="D151" t="inlineStr">
        <is>
          <t>VÄSTMANLANDS LÄN</t>
        </is>
      </c>
      <c r="E151" t="inlineStr">
        <is>
          <t>FAGERSTA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34602-2023</t>
        </is>
      </c>
      <c r="B152" s="1" t="n">
        <v>45140</v>
      </c>
      <c r="C152" s="1" t="n">
        <v>45719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34600-2023</t>
        </is>
      </c>
      <c r="B153" s="1" t="n">
        <v>45140</v>
      </c>
      <c r="C153" s="1" t="n">
        <v>45719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34604-2023</t>
        </is>
      </c>
      <c r="B154" s="1" t="n">
        <v>45140</v>
      </c>
      <c r="C154" s="1" t="n">
        <v>45719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34599-2023</t>
        </is>
      </c>
      <c r="B155" s="1" t="n">
        <v>45140</v>
      </c>
      <c r="C155" s="1" t="n">
        <v>45719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34603-2023</t>
        </is>
      </c>
      <c r="B156" s="1" t="n">
        <v>45140</v>
      </c>
      <c r="C156" s="1" t="n">
        <v>45719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34605-2023</t>
        </is>
      </c>
      <c r="B157" s="1" t="n">
        <v>45140</v>
      </c>
      <c r="C157" s="1" t="n">
        <v>45719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34942-2023</t>
        </is>
      </c>
      <c r="B158" s="1" t="n">
        <v>45142</v>
      </c>
      <c r="C158" s="1" t="n">
        <v>45719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37411-2023</t>
        </is>
      </c>
      <c r="B159" s="1" t="n">
        <v>45156</v>
      </c>
      <c r="C159" s="1" t="n">
        <v>45719</v>
      </c>
      <c r="D159" t="inlineStr">
        <is>
          <t>VÄSTMANLANDS LÄN</t>
        </is>
      </c>
      <c r="E159" t="inlineStr">
        <is>
          <t>FAGERSTA</t>
        </is>
      </c>
      <c r="F159" t="inlineStr">
        <is>
          <t>Bergvik skog väst AB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37955-2023</t>
        </is>
      </c>
      <c r="B160" s="1" t="n">
        <v>45160</v>
      </c>
      <c r="C160" s="1" t="n">
        <v>45719</v>
      </c>
      <c r="D160" t="inlineStr">
        <is>
          <t>VÄSTMANLANDS LÄN</t>
        </is>
      </c>
      <c r="E160" t="inlineStr">
        <is>
          <t>FAGERSTA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41491-2023</t>
        </is>
      </c>
      <c r="B161" s="1" t="n">
        <v>45175</v>
      </c>
      <c r="C161" s="1" t="n">
        <v>45719</v>
      </c>
      <c r="D161" t="inlineStr">
        <is>
          <t>VÄSTMANLANDS LÄN</t>
        </is>
      </c>
      <c r="E161" t="inlineStr">
        <is>
          <t>FAGERSTA</t>
        </is>
      </c>
      <c r="F161" t="inlineStr">
        <is>
          <t>Kommuner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46006-2023</t>
        </is>
      </c>
      <c r="B162" s="1" t="n">
        <v>45189</v>
      </c>
      <c r="C162" s="1" t="n">
        <v>45719</v>
      </c>
      <c r="D162" t="inlineStr">
        <is>
          <t>VÄSTMANLANDS LÄN</t>
        </is>
      </c>
      <c r="E162" t="inlineStr">
        <is>
          <t>FAGERSTA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45390-2023</t>
        </is>
      </c>
      <c r="B163" s="1" t="n">
        <v>45194</v>
      </c>
      <c r="C163" s="1" t="n">
        <v>45719</v>
      </c>
      <c r="D163" t="inlineStr">
        <is>
          <t>VÄSTMANLANDS LÄN</t>
        </is>
      </c>
      <c r="E163" t="inlineStr">
        <is>
          <t>FAGERSTA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48737-2023</t>
        </is>
      </c>
      <c r="B164" s="1" t="n">
        <v>45208</v>
      </c>
      <c r="C164" s="1" t="n">
        <v>45719</v>
      </c>
      <c r="D164" t="inlineStr">
        <is>
          <t>VÄSTMANLANDS LÄN</t>
        </is>
      </c>
      <c r="E164" t="inlineStr">
        <is>
          <t>FAGERSTA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51579-2023</t>
        </is>
      </c>
      <c r="B165" s="1" t="n">
        <v>45222</v>
      </c>
      <c r="C165" s="1" t="n">
        <v>45719</v>
      </c>
      <c r="D165" t="inlineStr">
        <is>
          <t>VÄSTMANLANDS LÄN</t>
        </is>
      </c>
      <c r="E165" t="inlineStr">
        <is>
          <t>FAGERSTA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51586-2023</t>
        </is>
      </c>
      <c r="B166" s="1" t="n">
        <v>45222</v>
      </c>
      <c r="C166" s="1" t="n">
        <v>45719</v>
      </c>
      <c r="D166" t="inlineStr">
        <is>
          <t>VÄSTMANLANDS LÄN</t>
        </is>
      </c>
      <c r="E166" t="inlineStr">
        <is>
          <t>FAGERSTA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54804-2023</t>
        </is>
      </c>
      <c r="B167" s="1" t="n">
        <v>45236</v>
      </c>
      <c r="C167" s="1" t="n">
        <v>45719</v>
      </c>
      <c r="D167" t="inlineStr">
        <is>
          <t>VÄSTMANLANDS LÄN</t>
        </is>
      </c>
      <c r="E167" t="inlineStr">
        <is>
          <t>FAGERSTA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57855-2023</t>
        </is>
      </c>
      <c r="B168" s="1" t="n">
        <v>45247</v>
      </c>
      <c r="C168" s="1" t="n">
        <v>45719</v>
      </c>
      <c r="D168" t="inlineStr">
        <is>
          <t>VÄSTMANLANDS LÄN</t>
        </is>
      </c>
      <c r="E168" t="inlineStr">
        <is>
          <t>FAGERSTA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59805-2023</t>
        </is>
      </c>
      <c r="B169" s="1" t="n">
        <v>45257</v>
      </c>
      <c r="C169" s="1" t="n">
        <v>45719</v>
      </c>
      <c r="D169" t="inlineStr">
        <is>
          <t>VÄSTMANLANDS LÄN</t>
        </is>
      </c>
      <c r="E169" t="inlineStr">
        <is>
          <t>FAGERSTA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63480-2023</t>
        </is>
      </c>
      <c r="B170" s="1" t="n">
        <v>45274</v>
      </c>
      <c r="C170" s="1" t="n">
        <v>45719</v>
      </c>
      <c r="D170" t="inlineStr">
        <is>
          <t>VÄSTMANLANDS LÄN</t>
        </is>
      </c>
      <c r="E170" t="inlineStr">
        <is>
          <t>FAGERSTA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13721-2024</t>
        </is>
      </c>
      <c r="B171" s="1" t="n">
        <v>45390</v>
      </c>
      <c r="C171" s="1" t="n">
        <v>45719</v>
      </c>
      <c r="D171" t="inlineStr">
        <is>
          <t>VÄSTMANLANDS LÄN</t>
        </is>
      </c>
      <c r="E171" t="inlineStr">
        <is>
          <t>FAGERSTA</t>
        </is>
      </c>
      <c r="F171" t="inlineStr">
        <is>
          <t>Kommuner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20909-2024</t>
        </is>
      </c>
      <c r="B172" s="1" t="n">
        <v>45439</v>
      </c>
      <c r="C172" s="1" t="n">
        <v>45719</v>
      </c>
      <c r="D172" t="inlineStr">
        <is>
          <t>VÄSTMANLANDS LÄN</t>
        </is>
      </c>
      <c r="E172" t="inlineStr">
        <is>
          <t>FAGERSTA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21679-2024</t>
        </is>
      </c>
      <c r="B173" s="1" t="n">
        <v>45442</v>
      </c>
      <c r="C173" s="1" t="n">
        <v>45719</v>
      </c>
      <c r="D173" t="inlineStr">
        <is>
          <t>VÄSTMANLANDS LÄN</t>
        </is>
      </c>
      <c r="E173" t="inlineStr">
        <is>
          <t>FAGERSTA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21661-2024</t>
        </is>
      </c>
      <c r="B174" s="1" t="n">
        <v>45442</v>
      </c>
      <c r="C174" s="1" t="n">
        <v>45719</v>
      </c>
      <c r="D174" t="inlineStr">
        <is>
          <t>VÄSTMANLANDS LÄN</t>
        </is>
      </c>
      <c r="E174" t="inlineStr">
        <is>
          <t>FAGERSTA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21665-2024</t>
        </is>
      </c>
      <c r="B175" s="1" t="n">
        <v>45442</v>
      </c>
      <c r="C175" s="1" t="n">
        <v>45719</v>
      </c>
      <c r="D175" t="inlineStr">
        <is>
          <t>VÄSTMANLANDS LÄN</t>
        </is>
      </c>
      <c r="E175" t="inlineStr">
        <is>
          <t>FAGERSTA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22336-2024</t>
        </is>
      </c>
      <c r="B176" s="1" t="n">
        <v>45446</v>
      </c>
      <c r="C176" s="1" t="n">
        <v>45719</v>
      </c>
      <c r="D176" t="inlineStr">
        <is>
          <t>VÄSTMANLANDS LÄN</t>
        </is>
      </c>
      <c r="E176" t="inlineStr">
        <is>
          <t>FAGERSTA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22323-2024</t>
        </is>
      </c>
      <c r="B177" s="1" t="n">
        <v>45446</v>
      </c>
      <c r="C177" s="1" t="n">
        <v>45719</v>
      </c>
      <c r="D177" t="inlineStr">
        <is>
          <t>VÄSTMANLANDS LÄN</t>
        </is>
      </c>
      <c r="E177" t="inlineStr">
        <is>
          <t>FAGERSTA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25677-2024</t>
        </is>
      </c>
      <c r="B178" s="1" t="n">
        <v>45463</v>
      </c>
      <c r="C178" s="1" t="n">
        <v>45719</v>
      </c>
      <c r="D178" t="inlineStr">
        <is>
          <t>VÄSTMANLANDS LÄN</t>
        </is>
      </c>
      <c r="E178" t="inlineStr">
        <is>
          <t>FAGERSTA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25756-2024</t>
        </is>
      </c>
      <c r="B179" s="1" t="n">
        <v>45465</v>
      </c>
      <c r="C179" s="1" t="n">
        <v>45719</v>
      </c>
      <c r="D179" t="inlineStr">
        <is>
          <t>VÄSTMANLANDS LÄN</t>
        </is>
      </c>
      <c r="E179" t="inlineStr">
        <is>
          <t>FAGERSTA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28113-2024</t>
        </is>
      </c>
      <c r="B180" s="1" t="n">
        <v>45476</v>
      </c>
      <c r="C180" s="1" t="n">
        <v>45719</v>
      </c>
      <c r="D180" t="inlineStr">
        <is>
          <t>VÄSTMANLANDS LÄN</t>
        </is>
      </c>
      <c r="E180" t="inlineStr">
        <is>
          <t>FAGERSTA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28203-2024</t>
        </is>
      </c>
      <c r="B181" s="1" t="n">
        <v>45477</v>
      </c>
      <c r="C181" s="1" t="n">
        <v>45719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28201-2024</t>
        </is>
      </c>
      <c r="B182" s="1" t="n">
        <v>45477</v>
      </c>
      <c r="C182" s="1" t="n">
        <v>45719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28205-2024</t>
        </is>
      </c>
      <c r="B183" s="1" t="n">
        <v>45477</v>
      </c>
      <c r="C183" s="1" t="n">
        <v>45719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28207-2024</t>
        </is>
      </c>
      <c r="B184" s="1" t="n">
        <v>45477</v>
      </c>
      <c r="C184" s="1" t="n">
        <v>45719</v>
      </c>
      <c r="D184" t="inlineStr">
        <is>
          <t>VÄSTMANLANDS LÄN</t>
        </is>
      </c>
      <c r="E184" t="inlineStr">
        <is>
          <t>FAGERSTA</t>
        </is>
      </c>
      <c r="F184" t="inlineStr">
        <is>
          <t>Sveaskog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30356-2024</t>
        </is>
      </c>
      <c r="B185" s="1" t="n">
        <v>45491</v>
      </c>
      <c r="C185" s="1" t="n">
        <v>45719</v>
      </c>
      <c r="D185" t="inlineStr">
        <is>
          <t>VÄSTMANLANDS LÄN</t>
        </is>
      </c>
      <c r="E185" t="inlineStr">
        <is>
          <t>FAGERSTA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30357-2024</t>
        </is>
      </c>
      <c r="B186" s="1" t="n">
        <v>45491</v>
      </c>
      <c r="C186" s="1" t="n">
        <v>45719</v>
      </c>
      <c r="D186" t="inlineStr">
        <is>
          <t>VÄSTMANLANDS LÄN</t>
        </is>
      </c>
      <c r="E186" t="inlineStr">
        <is>
          <t>FAGERSTA</t>
        </is>
      </c>
      <c r="F186" t="inlineStr">
        <is>
          <t>Övriga Aktiebolag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31231-2024</t>
        </is>
      </c>
      <c r="B187" s="1" t="n">
        <v>45503</v>
      </c>
      <c r="C187" s="1" t="n">
        <v>45719</v>
      </c>
      <c r="D187" t="inlineStr">
        <is>
          <t>VÄSTMANLANDS LÄN</t>
        </is>
      </c>
      <c r="E187" t="inlineStr">
        <is>
          <t>FAGERSTA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34160-2024</t>
        </is>
      </c>
      <c r="B188" s="1" t="n">
        <v>45524</v>
      </c>
      <c r="C188" s="1" t="n">
        <v>45719</v>
      </c>
      <c r="D188" t="inlineStr">
        <is>
          <t>VÄSTMANLANDS LÄN</t>
        </is>
      </c>
      <c r="E188" t="inlineStr">
        <is>
          <t>FAGERSTA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35062-2024</t>
        </is>
      </c>
      <c r="B189" s="1" t="n">
        <v>45527</v>
      </c>
      <c r="C189" s="1" t="n">
        <v>45719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35736-2024</t>
        </is>
      </c>
      <c r="B190" s="1" t="n">
        <v>45532</v>
      </c>
      <c r="C190" s="1" t="n">
        <v>45719</v>
      </c>
      <c r="D190" t="inlineStr">
        <is>
          <t>VÄSTMANLANDS LÄN</t>
        </is>
      </c>
      <c r="E190" t="inlineStr">
        <is>
          <t>FAGERSTA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37418-2024</t>
        </is>
      </c>
      <c r="B191" s="1" t="n">
        <v>45540</v>
      </c>
      <c r="C191" s="1" t="n">
        <v>45719</v>
      </c>
      <c r="D191" t="inlineStr">
        <is>
          <t>VÄSTMANLANDS LÄN</t>
        </is>
      </c>
      <c r="E191" t="inlineStr">
        <is>
          <t>FAGERSTA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37433-2024</t>
        </is>
      </c>
      <c r="B192" s="1" t="n">
        <v>45540</v>
      </c>
      <c r="C192" s="1" t="n">
        <v>45719</v>
      </c>
      <c r="D192" t="inlineStr">
        <is>
          <t>VÄSTMANLANDS LÄN</t>
        </is>
      </c>
      <c r="E192" t="inlineStr">
        <is>
          <t>FAGERSTA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39155-2024</t>
        </is>
      </c>
      <c r="B193" s="1" t="n">
        <v>45548</v>
      </c>
      <c r="C193" s="1" t="n">
        <v>45719</v>
      </c>
      <c r="D193" t="inlineStr">
        <is>
          <t>VÄSTMANLANDS LÄN</t>
        </is>
      </c>
      <c r="E193" t="inlineStr">
        <is>
          <t>FAGERSTA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39157-2024</t>
        </is>
      </c>
      <c r="B194" s="1" t="n">
        <v>45548</v>
      </c>
      <c r="C194" s="1" t="n">
        <v>45719</v>
      </c>
      <c r="D194" t="inlineStr">
        <is>
          <t>VÄSTMANLANDS LÄN</t>
        </is>
      </c>
      <c r="E194" t="inlineStr">
        <is>
          <t>FAGERSTA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39855-2024</t>
        </is>
      </c>
      <c r="B195" s="1" t="n">
        <v>45553</v>
      </c>
      <c r="C195" s="1" t="n">
        <v>45719</v>
      </c>
      <c r="D195" t="inlineStr">
        <is>
          <t>VÄSTMANLANDS LÄN</t>
        </is>
      </c>
      <c r="E195" t="inlineStr">
        <is>
          <t>FAGERSTA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42683-2024</t>
        </is>
      </c>
      <c r="B196" s="1" t="n">
        <v>45565</v>
      </c>
      <c r="C196" s="1" t="n">
        <v>45719</v>
      </c>
      <c r="D196" t="inlineStr">
        <is>
          <t>VÄSTMANLANDS LÄN</t>
        </is>
      </c>
      <c r="E196" t="inlineStr">
        <is>
          <t>FAGERSTA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42844-2024</t>
        </is>
      </c>
      <c r="B197" s="1" t="n">
        <v>45566</v>
      </c>
      <c r="C197" s="1" t="n">
        <v>45719</v>
      </c>
      <c r="D197" t="inlineStr">
        <is>
          <t>VÄSTMANLANDS LÄN</t>
        </is>
      </c>
      <c r="E197" t="inlineStr">
        <is>
          <t>FAGERSTA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43071-2024</t>
        </is>
      </c>
      <c r="B198" s="1" t="n">
        <v>45567</v>
      </c>
      <c r="C198" s="1" t="n">
        <v>45719</v>
      </c>
      <c r="D198" t="inlineStr">
        <is>
          <t>VÄSTMANLANDS LÄN</t>
        </is>
      </c>
      <c r="E198" t="inlineStr">
        <is>
          <t>FAGERSTA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44420-2024</t>
        </is>
      </c>
      <c r="B199" s="1" t="n">
        <v>45573</v>
      </c>
      <c r="C199" s="1" t="n">
        <v>45719</v>
      </c>
      <c r="D199" t="inlineStr">
        <is>
          <t>VÄSTMANLANDS LÄN</t>
        </is>
      </c>
      <c r="E199" t="inlineStr">
        <is>
          <t>FAGERSTA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48813-2024</t>
        </is>
      </c>
      <c r="B200" s="1" t="n">
        <v>45593</v>
      </c>
      <c r="C200" s="1" t="n">
        <v>45719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48816-2024</t>
        </is>
      </c>
      <c r="B201" s="1" t="n">
        <v>45593</v>
      </c>
      <c r="C201" s="1" t="n">
        <v>45719</v>
      </c>
      <c r="D201" t="inlineStr">
        <is>
          <t>VÄSTMANLANDS LÄN</t>
        </is>
      </c>
      <c r="E201" t="inlineStr">
        <is>
          <t>FAGERSTA</t>
        </is>
      </c>
      <c r="F201" t="inlineStr">
        <is>
          <t>Sveaskog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48814-2024</t>
        </is>
      </c>
      <c r="B202" s="1" t="n">
        <v>45593</v>
      </c>
      <c r="C202" s="1" t="n">
        <v>45719</v>
      </c>
      <c r="D202" t="inlineStr">
        <is>
          <t>VÄSTMANLANDS LÄN</t>
        </is>
      </c>
      <c r="E202" t="inlineStr">
        <is>
          <t>FAGERSTA</t>
        </is>
      </c>
      <c r="F202" t="inlineStr">
        <is>
          <t>Sveaskog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50209-2024</t>
        </is>
      </c>
      <c r="B203" s="1" t="n">
        <v>45600</v>
      </c>
      <c r="C203" s="1" t="n">
        <v>45719</v>
      </c>
      <c r="D203" t="inlineStr">
        <is>
          <t>VÄSTMANLANDS LÄN</t>
        </is>
      </c>
      <c r="E203" t="inlineStr">
        <is>
          <t>FAGERSTA</t>
        </is>
      </c>
      <c r="F203" t="inlineStr">
        <is>
          <t>Kommuner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50333-2024</t>
        </is>
      </c>
      <c r="B204" s="1" t="n">
        <v>45600</v>
      </c>
      <c r="C204" s="1" t="n">
        <v>45719</v>
      </c>
      <c r="D204" t="inlineStr">
        <is>
          <t>VÄSTMANLANDS LÄN</t>
        </is>
      </c>
      <c r="E204" t="inlineStr">
        <is>
          <t>FAGERSTA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51467-2024</t>
        </is>
      </c>
      <c r="B205" s="1" t="n">
        <v>45604</v>
      </c>
      <c r="C205" s="1" t="n">
        <v>45719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51969-2024</t>
        </is>
      </c>
      <c r="B206" s="1" t="n">
        <v>45607</v>
      </c>
      <c r="C206" s="1" t="n">
        <v>45719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52337-2024</t>
        </is>
      </c>
      <c r="B207" s="1" t="n">
        <v>45609</v>
      </c>
      <c r="C207" s="1" t="n">
        <v>45719</v>
      </c>
      <c r="D207" t="inlineStr">
        <is>
          <t>VÄSTMANLANDS LÄN</t>
        </is>
      </c>
      <c r="E207" t="inlineStr">
        <is>
          <t>FAGERSTA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53812-2024</t>
        </is>
      </c>
      <c r="B208" s="1" t="n">
        <v>45615</v>
      </c>
      <c r="C208" s="1" t="n">
        <v>45719</v>
      </c>
      <c r="D208" t="inlineStr">
        <is>
          <t>VÄSTMANLANDS LÄN</t>
        </is>
      </c>
      <c r="E208" t="inlineStr">
        <is>
          <t>FAGERSTA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53798-2024</t>
        </is>
      </c>
      <c r="B209" s="1" t="n">
        <v>45615</v>
      </c>
      <c r="C209" s="1" t="n">
        <v>45719</v>
      </c>
      <c r="D209" t="inlineStr">
        <is>
          <t>VÄSTMANLANDS LÄN</t>
        </is>
      </c>
      <c r="E209" t="inlineStr">
        <is>
          <t>FAGERSTA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56694-2024</t>
        </is>
      </c>
      <c r="B210" s="1" t="n">
        <v>45627</v>
      </c>
      <c r="C210" s="1" t="n">
        <v>45719</v>
      </c>
      <c r="D210" t="inlineStr">
        <is>
          <t>VÄSTMANLANDS LÄN</t>
        </is>
      </c>
      <c r="E210" t="inlineStr">
        <is>
          <t>FAGERSTA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56698-2024</t>
        </is>
      </c>
      <c r="B211" s="1" t="n">
        <v>45627</v>
      </c>
      <c r="C211" s="1" t="n">
        <v>45719</v>
      </c>
      <c r="D211" t="inlineStr">
        <is>
          <t>VÄSTMANLANDS LÄN</t>
        </is>
      </c>
      <c r="E211" t="inlineStr">
        <is>
          <t>FAGERSTA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56696-2024</t>
        </is>
      </c>
      <c r="B212" s="1" t="n">
        <v>45627</v>
      </c>
      <c r="C212" s="1" t="n">
        <v>45719</v>
      </c>
      <c r="D212" t="inlineStr">
        <is>
          <t>VÄSTMANLANDS LÄN</t>
        </is>
      </c>
      <c r="E212" t="inlineStr">
        <is>
          <t>FAGERSTA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56704-2024</t>
        </is>
      </c>
      <c r="B213" s="1" t="n">
        <v>45627</v>
      </c>
      <c r="C213" s="1" t="n">
        <v>45719</v>
      </c>
      <c r="D213" t="inlineStr">
        <is>
          <t>VÄSTMANLANDS LÄN</t>
        </is>
      </c>
      <c r="E213" t="inlineStr">
        <is>
          <t>FAGERSTA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56699-2024</t>
        </is>
      </c>
      <c r="B214" s="1" t="n">
        <v>45627</v>
      </c>
      <c r="C214" s="1" t="n">
        <v>45719</v>
      </c>
      <c r="D214" t="inlineStr">
        <is>
          <t>VÄSTMANLANDS LÄN</t>
        </is>
      </c>
      <c r="E214" t="inlineStr">
        <is>
          <t>FAGERSTA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58310-2024</t>
        </is>
      </c>
      <c r="B215" s="1" t="n">
        <v>45632</v>
      </c>
      <c r="C215" s="1" t="n">
        <v>45719</v>
      </c>
      <c r="D215" t="inlineStr">
        <is>
          <t>VÄSTMANLANDS LÄN</t>
        </is>
      </c>
      <c r="E215" t="inlineStr">
        <is>
          <t>FAGERSTA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58305-2024</t>
        </is>
      </c>
      <c r="B216" s="1" t="n">
        <v>45632</v>
      </c>
      <c r="C216" s="1" t="n">
        <v>45719</v>
      </c>
      <c r="D216" t="inlineStr">
        <is>
          <t>VÄSTMANLANDS LÄN</t>
        </is>
      </c>
      <c r="E216" t="inlineStr">
        <is>
          <t>FAGERSTA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58460-2024</t>
        </is>
      </c>
      <c r="B217" s="1" t="n">
        <v>45635</v>
      </c>
      <c r="C217" s="1" t="n">
        <v>45719</v>
      </c>
      <c r="D217" t="inlineStr">
        <is>
          <t>VÄSTMANLANDS LÄN</t>
        </is>
      </c>
      <c r="E217" t="inlineStr">
        <is>
          <t>FAGERSTA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58464-2024</t>
        </is>
      </c>
      <c r="B218" s="1" t="n">
        <v>45635</v>
      </c>
      <c r="C218" s="1" t="n">
        <v>45719</v>
      </c>
      <c r="D218" t="inlineStr">
        <is>
          <t>VÄSTMANLANDS LÄN</t>
        </is>
      </c>
      <c r="E218" t="inlineStr">
        <is>
          <t>FAGERSTA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58468-2024</t>
        </is>
      </c>
      <c r="B219" s="1" t="n">
        <v>45635</v>
      </c>
      <c r="C219" s="1" t="n">
        <v>45719</v>
      </c>
      <c r="D219" t="inlineStr">
        <is>
          <t>VÄSTMANLANDS LÄN</t>
        </is>
      </c>
      <c r="E219" t="inlineStr">
        <is>
          <t>FAGERSTA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58594-2024</t>
        </is>
      </c>
      <c r="B220" s="1" t="n">
        <v>45635</v>
      </c>
      <c r="C220" s="1" t="n">
        <v>45719</v>
      </c>
      <c r="D220" t="inlineStr">
        <is>
          <t>VÄSTMANLANDS LÄN</t>
        </is>
      </c>
      <c r="E220" t="inlineStr">
        <is>
          <t>FAGERSTA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58770-2024</t>
        </is>
      </c>
      <c r="B221" s="1" t="n">
        <v>45635</v>
      </c>
      <c r="C221" s="1" t="n">
        <v>45719</v>
      </c>
      <c r="D221" t="inlineStr">
        <is>
          <t>VÄSTMANLANDS LÄN</t>
        </is>
      </c>
      <c r="E221" t="inlineStr">
        <is>
          <t>FAGERSTA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194-2025</t>
        </is>
      </c>
      <c r="B222" s="1" t="n">
        <v>45659</v>
      </c>
      <c r="C222" s="1" t="n">
        <v>45719</v>
      </c>
      <c r="D222" t="inlineStr">
        <is>
          <t>VÄSTMANLANDS LÄN</t>
        </is>
      </c>
      <c r="E222" t="inlineStr">
        <is>
          <t>FAGERSTA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4486-2025</t>
        </is>
      </c>
      <c r="B223" s="1" t="n">
        <v>45686</v>
      </c>
      <c r="C223" s="1" t="n">
        <v>45719</v>
      </c>
      <c r="D223" t="inlineStr">
        <is>
          <t>VÄSTMANLANDS LÄN</t>
        </is>
      </c>
      <c r="E223" t="inlineStr">
        <is>
          <t>FAGERSTA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5283-2025</t>
        </is>
      </c>
      <c r="B224" s="1" t="n">
        <v>45692</v>
      </c>
      <c r="C224" s="1" t="n">
        <v>45719</v>
      </c>
      <c r="D224" t="inlineStr">
        <is>
          <t>VÄSTMANLANDS LÄN</t>
        </is>
      </c>
      <c r="E224" t="inlineStr">
        <is>
          <t>FAGERSTA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6322-2025</t>
        </is>
      </c>
      <c r="B225" s="1" t="n">
        <v>45698</v>
      </c>
      <c r="C225" s="1" t="n">
        <v>45719</v>
      </c>
      <c r="D225" t="inlineStr">
        <is>
          <t>VÄSTMANLANDS LÄN</t>
        </is>
      </c>
      <c r="E225" t="inlineStr">
        <is>
          <t>FAGERSTA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7380-2025</t>
        </is>
      </c>
      <c r="B226" s="1" t="n">
        <v>45705</v>
      </c>
      <c r="C226" s="1" t="n">
        <v>45719</v>
      </c>
      <c r="D226" t="inlineStr">
        <is>
          <t>VÄSTMANLANDS LÄN</t>
        </is>
      </c>
      <c r="E226" t="inlineStr">
        <is>
          <t>FAGERSTA</t>
        </is>
      </c>
      <c r="F226" t="inlineStr">
        <is>
          <t>Bergvik skog väst AB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2025-03-03T20:15:40Z</dcterms:created>
  <dcterms:modified xmlns:dcterms="http://purl.org/dc/terms/" xmlns:xsi="http://www.w3.org/2001/XMLSchema-instance" xsi:type="dcterms:W3CDTF">2025-03-03T20:15:40Z</dcterms:modified>
</cp:coreProperties>
</file>