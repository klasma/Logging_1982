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44971</v>
      </c>
      <c r="E10" s="1" t="n">
        <v>46289</v>
      </c>
      <c r="F10" t="inlineStr">
        <is>
          <t>VÄSTMANLANDS LÄN</t>
        </is>
      </c>
      <c r="G10" t="inlineStr">
        <is>
          <t>FAGERSTA</t>
        </is>
      </c>
      <c r="I10" t="n">
        <v>3.5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Bolmört
Tibast</t>
        </is>
      </c>
      <c r="W10">
        <f>HYPERLINK("https://klasma.github.io/Logging_1982/artfynd/A 7385-2023 artfynd.xlsx", "A 7385-2023")</f>
        <v/>
      </c>
      <c r="X10">
        <f>HYPERLINK("https://klasma.github.io/Logging_1982/kartor/A 7385-2023 karta.png", "A 7385-2023")</f>
        <v/>
      </c>
      <c r="Y10">
        <f>HYPERLINK("https://klasma.github.io/Logging_1982/kartor_geotiff/A 7385-2023 georefererad karta.tif", "A 7385-2023")</f>
        <v/>
      </c>
      <c r="AA10">
        <f>HYPERLINK("https://klasma.github.io/Logging_1982/klagomål/A 7385-2023 FSC-klagomål.docx", "A 7385-2023")</f>
        <v/>
      </c>
      <c r="AB10">
        <f>HYPERLINK("https://klasma.github.io/Logging_1982/klagomålsmail/A 7385-2023 FSC-klagomål mail.docx", "A 7385-2023")</f>
        <v/>
      </c>
      <c r="AC10">
        <f>HYPERLINK("https://klasma.github.io/Logging_1982/tillsyn/A 7385-2023 tillsynsbegäran.docx", "A 7385-2023")</f>
        <v/>
      </c>
      <c r="AD10">
        <f>HYPERLINK("https://klasma.github.io/Logging_1982/tillsynsmail/A 7385-2023 tillsynsbegäran mail.docx", "A 7385-2023")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46289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46289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46289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46289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46289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46289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46289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46289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46289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46289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46289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46289</v>
      </c>
      <c r="F32" t="inlineStr">
        <is>
          <t>VÄSTMANLANDS LÄN</t>
        </is>
      </c>
      <c r="G32" t="inlineStr">
        <is>
          <t>FAGERSTA</t>
        </is>
      </c>
      <c r="H32" t="inlineStr">
        <is>
          <t>Övriga Aktiebolag</t>
        </is>
      </c>
      <c r="I32" t="n">
        <v>6.9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51936-2022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44872</v>
      </c>
      <c r="E33" s="1" t="n">
        <v>46289</v>
      </c>
      <c r="F33" t="inlineStr">
        <is>
          <t>VÄSTMANLANDS LÄN</t>
        </is>
      </c>
      <c r="G33" t="inlineStr">
        <is>
          <t>FAGERSTA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22118-2025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46289</v>
      </c>
      <c r="F34" t="inlineStr">
        <is>
          <t>VÄSTMANLANDS LÄN</t>
        </is>
      </c>
      <c r="G34" t="inlineStr">
        <is>
          <t>FAGERSTA</t>
        </is>
      </c>
      <c r="H34" t="inlineStr">
        <is>
          <t>Sveaskog</t>
        </is>
      </c>
      <c r="I34" t="n">
        <v>18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45785</v>
      </c>
      <c r="E35" s="1" t="n">
        <v>46289</v>
      </c>
      <c r="F35" t="inlineStr">
        <is>
          <t>VÄSTMANLANDS LÄN</t>
        </is>
      </c>
      <c r="G35" t="inlineStr">
        <is>
          <t>FAGERSTA</t>
        </is>
      </c>
      <c r="H35" t="inlineStr">
        <is>
          <t>Sveaskog</t>
        </is>
      </c>
      <c r="I35" t="n">
        <v>6.7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45722</v>
      </c>
      <c r="E36" s="1" t="n">
        <v>46289</v>
      </c>
      <c r="F36" t="inlineStr">
        <is>
          <t>VÄSTMANLANDS LÄN</t>
        </is>
      </c>
      <c r="G36" t="inlineStr">
        <is>
          <t>FAGERSTA</t>
        </is>
      </c>
      <c r="H36" t="inlineStr">
        <is>
          <t>Sveaskog</t>
        </is>
      </c>
      <c r="I36" t="n">
        <v>11.5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7380-2025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45705</v>
      </c>
      <c r="E37" s="1" t="n">
        <v>46289</v>
      </c>
      <c r="F37" t="inlineStr">
        <is>
          <t>VÄSTMANLANDS LÄN</t>
        </is>
      </c>
      <c r="G37" t="inlineStr">
        <is>
          <t>FAGERSTA</t>
        </is>
      </c>
      <c r="H37" t="inlineStr">
        <is>
          <t>Bergvik skog väst AB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25053-2022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44729</v>
      </c>
      <c r="E38" s="1" t="n">
        <v>46289</v>
      </c>
      <c r="F38" t="inlineStr">
        <is>
          <t>VÄSTMANLANDS LÄN</t>
        </is>
      </c>
      <c r="G38" t="inlineStr">
        <is>
          <t>FAGERSTA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25057-2022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44729</v>
      </c>
      <c r="E39" s="1" t="n">
        <v>46289</v>
      </c>
      <c r="F39" t="inlineStr">
        <is>
          <t>VÄSTMANLANDS LÄN</t>
        </is>
      </c>
      <c r="G39" t="inlineStr">
        <is>
          <t>FAGERSTA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46289</v>
      </c>
      <c r="F40" t="inlineStr">
        <is>
          <t>VÄSTMANLANDS LÄN</t>
        </is>
      </c>
      <c r="G40" t="inlineStr">
        <is>
          <t>FAGERSTA</t>
        </is>
      </c>
      <c r="H40" t="inlineStr">
        <is>
          <t>Kommuner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68174-2021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44526</v>
      </c>
      <c r="E41" s="1" t="n">
        <v>46289</v>
      </c>
      <c r="F41" t="inlineStr">
        <is>
          <t>VÄSTMANLANDS LÄN</t>
        </is>
      </c>
      <c r="G41" t="inlineStr">
        <is>
          <t>FAGERSTA</t>
        </is>
      </c>
      <c r="H41" t="inlineStr">
        <is>
          <t>Kyrkan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26509-2022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44739</v>
      </c>
      <c r="E42" s="1" t="n">
        <v>46289</v>
      </c>
      <c r="F42" t="inlineStr">
        <is>
          <t>VÄSTMANLANDS LÄN</t>
        </is>
      </c>
      <c r="G42" t="inlineStr">
        <is>
          <t>FAGERSTA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45748</v>
      </c>
      <c r="E43" s="1" t="n">
        <v>46289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46289</v>
      </c>
      <c r="F44" t="inlineStr">
        <is>
          <t>VÄSTMANLANDS LÄN</t>
        </is>
      </c>
      <c r="G44" t="inlineStr">
        <is>
          <t>FAGERSTA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46289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45635</v>
      </c>
      <c r="E46" s="1" t="n">
        <v>46289</v>
      </c>
      <c r="F46" t="inlineStr">
        <is>
          <t>VÄSTMANLANDS LÄN</t>
        </is>
      </c>
      <c r="G46" t="inlineStr">
        <is>
          <t>FAGERSTA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45071</v>
      </c>
      <c r="E47" s="1" t="n">
        <v>46289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46289</v>
      </c>
      <c r="F48" t="inlineStr">
        <is>
          <t>VÄSTMANLANDS LÄN</t>
        </is>
      </c>
      <c r="G48" t="inlineStr">
        <is>
          <t>FAGERSTA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20909-2024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45439</v>
      </c>
      <c r="E49" s="1" t="n">
        <v>46289</v>
      </c>
      <c r="F49" t="inlineStr">
        <is>
          <t>VÄSTMANLANDS LÄN</t>
        </is>
      </c>
      <c r="G49" t="inlineStr">
        <is>
          <t>FAGERSTA</t>
        </is>
      </c>
      <c r="I49" t="n">
        <v>6.9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46289</v>
      </c>
      <c r="F50" t="inlineStr">
        <is>
          <t>VÄSTMANLANDS LÄN</t>
        </is>
      </c>
      <c r="G50" t="inlineStr">
        <is>
          <t>FAGERSTA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46289</v>
      </c>
      <c r="F51" t="inlineStr">
        <is>
          <t>VÄSTMANLANDS LÄN</t>
        </is>
      </c>
      <c r="G51" t="inlineStr">
        <is>
          <t>FAGERSTA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57855-2023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46289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44919</v>
      </c>
      <c r="E53" s="1" t="n">
        <v>46289</v>
      </c>
      <c r="F53" t="inlineStr">
        <is>
          <t>VÄSTMANLANDS LÄN</t>
        </is>
      </c>
      <c r="G53" t="inlineStr">
        <is>
          <t>FAGERSTA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46289</v>
      </c>
      <c r="F54" t="inlineStr">
        <is>
          <t>VÄSTMANLANDS LÄN</t>
        </is>
      </c>
      <c r="G54" t="inlineStr">
        <is>
          <t>FAGERSTA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46289</v>
      </c>
      <c r="F55" t="inlineStr">
        <is>
          <t>VÄSTMANLANDS LÄN</t>
        </is>
      </c>
      <c r="G55" t="inlineStr">
        <is>
          <t>FAGERSTA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46289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45810</v>
      </c>
      <c r="E57" s="1" t="n">
        <v>46289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22.6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46289</v>
      </c>
      <c r="F58" t="inlineStr">
        <is>
          <t>VÄSTMANLANDS LÄN</t>
        </is>
      </c>
      <c r="G58" t="inlineStr">
        <is>
          <t>FAGERSTA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45442</v>
      </c>
      <c r="E59" s="1" t="n">
        <v>46289</v>
      </c>
      <c r="F59" t="inlineStr">
        <is>
          <t>VÄSTMANLANDS LÄN</t>
        </is>
      </c>
      <c r="G59" t="inlineStr">
        <is>
          <t>FAGERSTA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33007-2023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45125</v>
      </c>
      <c r="E60" s="1" t="n">
        <v>46289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45627</v>
      </c>
      <c r="E61" s="1" t="n">
        <v>46289</v>
      </c>
      <c r="F61" t="inlineStr">
        <is>
          <t>VÄSTMANLANDS LÄN</t>
        </is>
      </c>
      <c r="G61" t="inlineStr">
        <is>
          <t>FAGERSTA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45771</v>
      </c>
      <c r="E62" s="1" t="n">
        <v>46289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45160</v>
      </c>
      <c r="E63" s="1" t="n">
        <v>46289</v>
      </c>
      <c r="F63" t="inlineStr">
        <is>
          <t>VÄSTMANLANDS LÄN</t>
        </is>
      </c>
      <c r="G63" t="inlineStr">
        <is>
          <t>FAGERSTA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46289</v>
      </c>
      <c r="F64" t="inlineStr">
        <is>
          <t>VÄSTMANLANDS LÄN</t>
        </is>
      </c>
      <c r="G64" t="inlineStr">
        <is>
          <t>FAGERSTA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45635</v>
      </c>
      <c r="E65" s="1" t="n">
        <v>46289</v>
      </c>
      <c r="F65" t="inlineStr">
        <is>
          <t>VÄSTMANLANDS LÄN</t>
        </is>
      </c>
      <c r="G65" t="inlineStr">
        <is>
          <t>FAGERSTA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22482-2023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45071</v>
      </c>
      <c r="E66" s="1" t="n">
        <v>46289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45071</v>
      </c>
      <c r="E67" s="1" t="n">
        <v>46289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46289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10.1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13697-2025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45737</v>
      </c>
      <c r="E69" s="1" t="n">
        <v>46289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45972</v>
      </c>
      <c r="E70" s="1" t="n">
        <v>46289</v>
      </c>
      <c r="F70" t="inlineStr">
        <is>
          <t>VÄSTMANLANDS LÄN</t>
        </is>
      </c>
      <c r="G70" t="inlineStr">
        <is>
          <t>FAGERSTA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44998</v>
      </c>
      <c r="E71" s="1" t="n">
        <v>46289</v>
      </c>
      <c r="F71" t="inlineStr">
        <is>
          <t>VÄSTMANLANDS LÄN</t>
        </is>
      </c>
      <c r="G71" t="inlineStr">
        <is>
          <t>FAGERSTA</t>
        </is>
      </c>
      <c r="H71" t="inlineStr">
        <is>
          <t>Övriga Aktiebolag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45503</v>
      </c>
      <c r="E72" s="1" t="n">
        <v>46289</v>
      </c>
      <c r="F72" t="inlineStr">
        <is>
          <t>VÄSTMANLANDS LÄN</t>
        </is>
      </c>
      <c r="G72" t="inlineStr">
        <is>
          <t>FAGERSTA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46289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45390-2023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45193</v>
      </c>
      <c r="E74" s="1" t="n">
        <v>46289</v>
      </c>
      <c r="F74" t="inlineStr">
        <is>
          <t>VÄSTMANLANDS LÄN</t>
        </is>
      </c>
      <c r="G74" t="inlineStr">
        <is>
          <t>FAGERSTA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46289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46289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63305-2025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46010</v>
      </c>
      <c r="E77" s="1" t="n">
        <v>46289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33236-2025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45840</v>
      </c>
      <c r="E78" s="1" t="n">
        <v>46289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46289</v>
      </c>
      <c r="F79" t="inlineStr">
        <is>
          <t>VÄSTMANLANDS LÄN</t>
        </is>
      </c>
      <c r="G79" t="inlineStr">
        <is>
          <t>FAGERSTA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46286</v>
      </c>
      <c r="E80" s="1" t="n">
        <v>46289</v>
      </c>
      <c r="F80" t="inlineStr">
        <is>
          <t>VÄSTMANLANDS LÄN</t>
        </is>
      </c>
      <c r="G80" t="inlineStr">
        <is>
          <t>FAGERSTA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46289</v>
      </c>
      <c r="F81" t="inlineStr">
        <is>
          <t>VÄSTMANLANDS LÄN</t>
        </is>
      </c>
      <c r="G81" t="inlineStr">
        <is>
          <t>FAGERSTA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45274</v>
      </c>
      <c r="E82" s="1" t="n">
        <v>46289</v>
      </c>
      <c r="F82" t="inlineStr">
        <is>
          <t>VÄSTMANLANDS LÄN</t>
        </is>
      </c>
      <c r="G82" t="inlineStr">
        <is>
          <t>FAGERSTA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46289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44994</v>
      </c>
      <c r="E84" s="1" t="n">
        <v>46289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46289</v>
      </c>
      <c r="F85" t="inlineStr">
        <is>
          <t>VÄSTMANLANDS LÄN</t>
        </is>
      </c>
      <c r="G85" t="inlineStr">
        <is>
          <t>FAGERSTA</t>
        </is>
      </c>
      <c r="H85" t="inlineStr">
        <is>
          <t>Kommuner</t>
        </is>
      </c>
      <c r="I85" t="n">
        <v>22.9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60374-2025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45995</v>
      </c>
      <c r="E86" s="1" t="n">
        <v>46289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33191-2026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46289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44953</v>
      </c>
      <c r="E88" s="1" t="n">
        <v>46289</v>
      </c>
      <c r="F88" t="inlineStr">
        <is>
          <t>VÄSTMANLANDS LÄN</t>
        </is>
      </c>
      <c r="G88" t="inlineStr">
        <is>
          <t>FAGERSTA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46289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46246</v>
      </c>
      <c r="E90" s="1" t="n">
        <v>46289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46289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46289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46287</v>
      </c>
      <c r="E93" s="1" t="n">
        <v>46289</v>
      </c>
      <c r="F93" t="inlineStr">
        <is>
          <t>VÄSTMANLANDS LÄN</t>
        </is>
      </c>
      <c r="G93" t="inlineStr">
        <is>
          <t>FAGERSTA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33322-2026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46246</v>
      </c>
      <c r="E94" s="1" t="n">
        <v>46289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34374-2025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45846</v>
      </c>
      <c r="E95" s="1" t="n">
        <v>46289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46289</v>
      </c>
      <c r="F96" t="inlineStr">
        <is>
          <t>VÄSTMANLANDS LÄN</t>
        </is>
      </c>
      <c r="G96" t="inlineStr">
        <is>
          <t>FAGERSTA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46289</v>
      </c>
      <c r="F97" t="inlineStr">
        <is>
          <t>VÄSTMANLANDS LÄN</t>
        </is>
      </c>
      <c r="G97" t="inlineStr">
        <is>
          <t>FAGERSTA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46289</v>
      </c>
      <c r="F98" t="inlineStr">
        <is>
          <t>VÄSTMANLANDS LÄN</t>
        </is>
      </c>
      <c r="G98" t="inlineStr">
        <is>
          <t>FAGERSTA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46122</v>
      </c>
      <c r="E99" s="1" t="n">
        <v>46289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46289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46289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46289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46122</v>
      </c>
      <c r="E103" s="1" t="n">
        <v>46289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46289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46289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19825-2026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46135</v>
      </c>
      <c r="E106" s="1" t="n">
        <v>46289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46289</v>
      </c>
      <c r="F107" t="inlineStr">
        <is>
          <t>VÄSTMANLANDS LÄN</t>
        </is>
      </c>
      <c r="G107" t="inlineStr">
        <is>
          <t>FAGERSTA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46289</v>
      </c>
      <c r="F108" t="inlineStr">
        <is>
          <t>VÄSTMANLANDS LÄN</t>
        </is>
      </c>
      <c r="G108" t="inlineStr">
        <is>
          <t>FAGERSTA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20583-2026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46140</v>
      </c>
      <c r="E109" s="1" t="n">
        <v>46289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46289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46289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Övriga Aktiebolag</t>
        </is>
      </c>
      <c r="I111" t="n">
        <v>14.6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46289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46289</v>
      </c>
      <c r="F113" t="inlineStr">
        <is>
          <t>VÄSTMANLANDS LÄN</t>
        </is>
      </c>
      <c r="G113" t="inlineStr">
        <is>
          <t>FAGERSTA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46289</v>
      </c>
      <c r="F114" t="inlineStr">
        <is>
          <t>VÄSTMANLANDS LÄN</t>
        </is>
      </c>
      <c r="G114" t="inlineStr">
        <is>
          <t>FAGERSTA</t>
        </is>
      </c>
      <c r="I114" t="n">
        <v>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21890-2026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46289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46289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21889-2026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46289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46289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46289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46289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46289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41644-2025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45902</v>
      </c>
      <c r="E122" s="1" t="n">
        <v>46289</v>
      </c>
      <c r="F122" t="inlineStr">
        <is>
          <t>VÄSTMANLANDS LÄN</t>
        </is>
      </c>
      <c r="G122" t="inlineStr">
        <is>
          <t>FAGERSTA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46289</v>
      </c>
      <c r="F123" t="inlineStr">
        <is>
          <t>VÄSTMANLANDS LÄN</t>
        </is>
      </c>
      <c r="G123" t="inlineStr">
        <is>
          <t>FAGERSTA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26057-2026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46289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46289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46258</v>
      </c>
      <c r="E126" s="1" t="n">
        <v>46289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46213</v>
      </c>
      <c r="E127" s="1" t="n">
        <v>46289</v>
      </c>
      <c r="F127" t="inlineStr">
        <is>
          <t>VÄSTMANLANDS LÄN</t>
        </is>
      </c>
      <c r="G127" t="inlineStr">
        <is>
          <t>FAGERSTA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46223</v>
      </c>
      <c r="E128" s="1" t="n">
        <v>46289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Övriga Aktiebolag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46289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Kommuner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37235-2026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46274</v>
      </c>
      <c r="E130" s="1" t="n">
        <v>46289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37231-2026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46274</v>
      </c>
      <c r="E131" s="1" t="n">
        <v>46289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37234-2026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46274</v>
      </c>
      <c r="E132" s="1" t="n">
        <v>46289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37228-2026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46274</v>
      </c>
      <c r="E133" s="1" t="n">
        <v>46289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46239</v>
      </c>
      <c r="E134" s="1" t="n">
        <v>46289</v>
      </c>
      <c r="F134" t="inlineStr">
        <is>
          <t>VÄSTMANLANDS LÄN</t>
        </is>
      </c>
      <c r="G134" t="inlineStr">
        <is>
          <t>FAGERSTA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46289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46289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46289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46289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46289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46289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46289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46289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46289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2026-09-24T01:54:48Z</dcterms:created>
  <dcterms:modified xmlns:dcterms="http://purl.org/dc/terms/" xmlns:xsi="http://www.w3.org/2001/XMLSchema-instance" xsi:type="dcterms:W3CDTF">2026-09-24T01:54:48Z</dcterms:modified>
</cp:coreProperties>
</file>