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45971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45971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45971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45971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45971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45971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45971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45971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58307-2024</t>
        </is>
      </c>
      <c r="B10" s="1" t="n">
        <v>45632</v>
      </c>
      <c r="C10" s="1" t="n">
        <v>45971</v>
      </c>
      <c r="D10" t="inlineStr">
        <is>
          <t>VÄSTMANLANDS LÄN</t>
        </is>
      </c>
      <c r="E10" t="inlineStr">
        <is>
          <t>FAGERSTA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HYPERLINK("https://klasma.github.io/Logging_1982/artfynd/A 58307-2024 artfynd.xlsx", "A 58307-2024")</f>
        <v/>
      </c>
      <c r="T10">
        <f>HYPERLINK("https://klasma.github.io/Logging_1982/kartor/A 58307-2024 karta.png", "A 58307-2024")</f>
        <v/>
      </c>
      <c r="V10">
        <f>HYPERLINK("https://klasma.github.io/Logging_1982/klagomål/A 58307-2024 FSC-klagomål.docx", "A 58307-2024")</f>
        <v/>
      </c>
      <c r="W10">
        <f>HYPERLINK("https://klasma.github.io/Logging_1982/klagomålsmail/A 58307-2024 FSC-klagomål mail.docx", "A 58307-2024")</f>
        <v/>
      </c>
      <c r="X10">
        <f>HYPERLINK("https://klasma.github.io/Logging_1982/tillsyn/A 58307-2024 tillsynsbegäran.docx", "A 58307-2024")</f>
        <v/>
      </c>
      <c r="Y10">
        <f>HYPERLINK("https://klasma.github.io/Logging_1982/tillsynsmail/A 58307-2024 tillsynsbegäran mail.docx", "A 58307-2024")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45971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45971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45971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45971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45971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45971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19550-2025</t>
        </is>
      </c>
      <c r="B17" s="1" t="n">
        <v>45770</v>
      </c>
      <c r="C17" s="1" t="n">
        <v>45971</v>
      </c>
      <c r="D17" t="inlineStr">
        <is>
          <t>VÄSTMANLANDS LÄN</t>
        </is>
      </c>
      <c r="E17" t="inlineStr">
        <is>
          <t>FAGERSTA</t>
        </is>
      </c>
      <c r="G17" t="n">
        <v>16.4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HYPERLINK("https://klasma.github.io/Logging_1982/artfynd/A 19550-2025 artfynd.xlsx", "A 19550-2025")</f>
        <v/>
      </c>
      <c r="T17">
        <f>HYPERLINK("https://klasma.github.io/Logging_1982/kartor/A 19550-2025 karta.png", "A 19550-2025")</f>
        <v/>
      </c>
      <c r="V17">
        <f>HYPERLINK("https://klasma.github.io/Logging_1982/klagomål/A 19550-2025 FSC-klagomål.docx", "A 19550-2025")</f>
        <v/>
      </c>
      <c r="W17">
        <f>HYPERLINK("https://klasma.github.io/Logging_1982/klagomålsmail/A 19550-2025 FSC-klagomål mail.docx", "A 19550-2025")</f>
        <v/>
      </c>
      <c r="X17">
        <f>HYPERLINK("https://klasma.github.io/Logging_1982/tillsyn/A 19550-2025 tillsynsbegäran.docx", "A 19550-2025")</f>
        <v/>
      </c>
      <c r="Y17">
        <f>HYPERLINK("https://klasma.github.io/Logging_1982/tillsynsmail/A 19550-2025 tillsynsbegäran mail.docx", "A 19550-2025")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45971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45971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45971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45971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45971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45971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45971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45971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45971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45971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45971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45971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45971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45971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45971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45971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29510-2022</t>
        </is>
      </c>
      <c r="B34" s="1" t="n">
        <v>44753</v>
      </c>
      <c r="C34" s="1" t="n">
        <v>45971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45971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32249-2022</t>
        </is>
      </c>
      <c r="B36" s="1" t="n">
        <v>44781</v>
      </c>
      <c r="C36" s="1" t="n">
        <v>45971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31231-2024</t>
        </is>
      </c>
      <c r="B37" s="1" t="n">
        <v>45503</v>
      </c>
      <c r="C37" s="1" t="n">
        <v>45971</v>
      </c>
      <c r="D37" t="inlineStr">
        <is>
          <t>VÄSTMANLANDS LÄN</t>
        </is>
      </c>
      <c r="E37" t="inlineStr">
        <is>
          <t>FAGERSTA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38128-2021</t>
        </is>
      </c>
      <c r="B38" s="1" t="n">
        <v>44405.37</v>
      </c>
      <c r="C38" s="1" t="n">
        <v>45971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HYPERLINK("https://klasma.github.io/Logging_1982/knärot/A 38128-2021 karta knärot.png", "A 38128-2021")</f>
        <v/>
      </c>
      <c r="V38">
        <f>HYPERLINK("https://klasma.github.io/Logging_1982/klagomål/A 38128-2021 FSC-klagomål.docx", "A 38128-2021")</f>
        <v/>
      </c>
      <c r="W38">
        <f>HYPERLINK("https://klasma.github.io/Logging_1982/klagomålsmail/A 38128-2021 FSC-klagomål mail.docx", "A 38128-2021")</f>
        <v/>
      </c>
      <c r="X38">
        <f>HYPERLINK("https://klasma.github.io/Logging_1982/tillsyn/A 38128-2021 tillsynsbegäran.docx", "A 38128-2021")</f>
        <v/>
      </c>
      <c r="Y38">
        <f>HYPERLINK("https://klasma.github.io/Logging_1982/tillsynsmail/A 38128-2021 tillsynsbegäran mail.docx", "A 38128-2021")</f>
        <v/>
      </c>
    </row>
    <row r="39" ht="15" customHeight="1">
      <c r="A39" t="inlineStr">
        <is>
          <t>A 44710-2022</t>
        </is>
      </c>
      <c r="B39" s="1" t="n">
        <v>44840</v>
      </c>
      <c r="C39" s="1" t="n">
        <v>45971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45971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45971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45971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45971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50209-2024</t>
        </is>
      </c>
      <c r="B44" s="1" t="n">
        <v>45600</v>
      </c>
      <c r="C44" s="1" t="n">
        <v>45971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30630-2023</t>
        </is>
      </c>
      <c r="B45" s="1" t="n">
        <v>45112</v>
      </c>
      <c r="C45" s="1" t="n">
        <v>45971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10820-2025</t>
        </is>
      </c>
      <c r="B46" s="1" t="n">
        <v>45722.55008101852</v>
      </c>
      <c r="C46" s="1" t="n">
        <v>45971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45971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45705.32150462963</v>
      </c>
      <c r="C48" s="1" t="n">
        <v>45971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45971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33785-2023</t>
        </is>
      </c>
      <c r="B50" s="1" t="n">
        <v>45131</v>
      </c>
      <c r="C50" s="1" t="n">
        <v>45971</v>
      </c>
      <c r="D50" t="inlineStr">
        <is>
          <t>VÄSTMANLANDS LÄN</t>
        </is>
      </c>
      <c r="E50" t="inlineStr">
        <is>
          <t>FAGERSTA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13721-2024</t>
        </is>
      </c>
      <c r="B51" s="1" t="n">
        <v>45390</v>
      </c>
      <c r="C51" s="1" t="n">
        <v>45971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45971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45971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15812-2025</t>
        </is>
      </c>
      <c r="B54" s="1" t="n">
        <v>45748.66613425926</v>
      </c>
      <c r="C54" s="1" t="n">
        <v>45971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45971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7385-2023</t>
        </is>
      </c>
      <c r="B56" s="1" t="n">
        <v>44971</v>
      </c>
      <c r="C56" s="1" t="n">
        <v>45971</v>
      </c>
      <c r="D56" t="inlineStr">
        <is>
          <t>VÄSTMANLANDS LÄN</t>
        </is>
      </c>
      <c r="E56" t="inlineStr">
        <is>
          <t>FAGERSTA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62095-2022</t>
        </is>
      </c>
      <c r="B57" s="1" t="n">
        <v>44919</v>
      </c>
      <c r="C57" s="1" t="n">
        <v>45971</v>
      </c>
      <c r="D57" t="inlineStr">
        <is>
          <t>VÄSTMANLANDS LÄN</t>
        </is>
      </c>
      <c r="E57" t="inlineStr">
        <is>
          <t>FAGERSTA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28249-2022</t>
        </is>
      </c>
      <c r="B58" s="1" t="n">
        <v>44746</v>
      </c>
      <c r="C58" s="1" t="n">
        <v>45971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48261-2022</t>
        </is>
      </c>
      <c r="B59" s="1" t="n">
        <v>44858</v>
      </c>
      <c r="C59" s="1" t="n">
        <v>45971</v>
      </c>
      <c r="D59" t="inlineStr">
        <is>
          <t>VÄSTMANLANDS LÄN</t>
        </is>
      </c>
      <c r="E59" t="inlineStr">
        <is>
          <t>FAGERSTA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45971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56699-2024</t>
        </is>
      </c>
      <c r="B61" s="1" t="n">
        <v>45627.7980787037</v>
      </c>
      <c r="C61" s="1" t="n">
        <v>45971</v>
      </c>
      <c r="D61" t="inlineStr">
        <is>
          <t>VÄSTMANLANDS LÄN</t>
        </is>
      </c>
      <c r="E61" t="inlineStr">
        <is>
          <t>FAGERSTA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45971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22484-2023</t>
        </is>
      </c>
      <c r="B63" s="1" t="n">
        <v>45071</v>
      </c>
      <c r="C63" s="1" t="n">
        <v>45971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17612-2025</t>
        </is>
      </c>
      <c r="B64" s="1" t="n">
        <v>45757.79734953704</v>
      </c>
      <c r="C64" s="1" t="n">
        <v>45971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21679-2024</t>
        </is>
      </c>
      <c r="B65" s="1" t="n">
        <v>45442</v>
      </c>
      <c r="C65" s="1" t="n">
        <v>45971</v>
      </c>
      <c r="D65" t="inlineStr">
        <is>
          <t>VÄSTMANLANDS LÄN</t>
        </is>
      </c>
      <c r="E65" t="inlineStr">
        <is>
          <t>FAGERSTA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4486-2025</t>
        </is>
      </c>
      <c r="B66" s="1" t="n">
        <v>45686</v>
      </c>
      <c r="C66" s="1" t="n">
        <v>45971</v>
      </c>
      <c r="D66" t="inlineStr">
        <is>
          <t>VÄSTMANLANDS LÄN</t>
        </is>
      </c>
      <c r="E66" t="inlineStr">
        <is>
          <t>FAGERSTA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51586-2023</t>
        </is>
      </c>
      <c r="B67" s="1" t="n">
        <v>45222.46934027778</v>
      </c>
      <c r="C67" s="1" t="n">
        <v>45971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45971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16545-2025</t>
        </is>
      </c>
      <c r="B69" s="1" t="n">
        <v>45751.68105324074</v>
      </c>
      <c r="C69" s="1" t="n">
        <v>45971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16546-2025</t>
        </is>
      </c>
      <c r="B70" s="1" t="n">
        <v>45751.683125</v>
      </c>
      <c r="C70" s="1" t="n">
        <v>45971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45971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64310-2020</t>
        </is>
      </c>
      <c r="B72" s="1" t="n">
        <v>44168</v>
      </c>
      <c r="C72" s="1" t="n">
        <v>45971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54804-2023</t>
        </is>
      </c>
      <c r="B73" s="1" t="n">
        <v>45236.51261574074</v>
      </c>
      <c r="C73" s="1" t="n">
        <v>45971</v>
      </c>
      <c r="D73" t="inlineStr">
        <is>
          <t>VÄSTMANLANDS LÄN</t>
        </is>
      </c>
      <c r="E73" t="inlineStr">
        <is>
          <t>FAGERSTA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45971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45971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14590-2025</t>
        </is>
      </c>
      <c r="B76" s="1" t="n">
        <v>45742.33019675926</v>
      </c>
      <c r="C76" s="1" t="n">
        <v>45971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16544-2025</t>
        </is>
      </c>
      <c r="B77" s="1" t="n">
        <v>45751.67940972222</v>
      </c>
      <c r="C77" s="1" t="n">
        <v>45971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22482-2023</t>
        </is>
      </c>
      <c r="B78" s="1" t="n">
        <v>45071</v>
      </c>
      <c r="C78" s="1" t="n">
        <v>45971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22485-2023</t>
        </is>
      </c>
      <c r="B79" s="1" t="n">
        <v>45071</v>
      </c>
      <c r="C79" s="1" t="n">
        <v>45971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19213-2025</t>
        </is>
      </c>
      <c r="B80" s="1" t="n">
        <v>45769.43887731482</v>
      </c>
      <c r="C80" s="1" t="n">
        <v>45971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14.6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16547-2025</t>
        </is>
      </c>
      <c r="B81" s="1" t="n">
        <v>45751.68385416667</v>
      </c>
      <c r="C81" s="1" t="n">
        <v>45971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45971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19153-2025</t>
        </is>
      </c>
      <c r="B83" s="1" t="n">
        <v>45769</v>
      </c>
      <c r="C83" s="1" t="n">
        <v>45971</v>
      </c>
      <c r="D83" t="inlineStr">
        <is>
          <t>VÄSTMANLANDS LÄN</t>
        </is>
      </c>
      <c r="E83" t="inlineStr">
        <is>
          <t>FAGERSTA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12125-2023</t>
        </is>
      </c>
      <c r="B84" s="1" t="n">
        <v>44998</v>
      </c>
      <c r="C84" s="1" t="n">
        <v>45971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22025-2025</t>
        </is>
      </c>
      <c r="B85" s="1" t="n">
        <v>45784</v>
      </c>
      <c r="C85" s="1" t="n">
        <v>45971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58310-2024</t>
        </is>
      </c>
      <c r="B86" s="1" t="n">
        <v>45632</v>
      </c>
      <c r="C86" s="1" t="n">
        <v>45971</v>
      </c>
      <c r="D86" t="inlineStr">
        <is>
          <t>VÄSTMANLANDS LÄN</t>
        </is>
      </c>
      <c r="E86" t="inlineStr">
        <is>
          <t>FAGERSTA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45971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30813-2022</t>
        </is>
      </c>
      <c r="B88" s="1" t="n">
        <v>44764.96467592593</v>
      </c>
      <c r="C88" s="1" t="n">
        <v>45971</v>
      </c>
      <c r="D88" t="inlineStr">
        <is>
          <t>VÄSTMANLANDS LÄN</t>
        </is>
      </c>
      <c r="E88" t="inlineStr">
        <is>
          <t>FAGERSTA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12121-2023</t>
        </is>
      </c>
      <c r="B89" s="1" t="n">
        <v>44998</v>
      </c>
      <c r="C89" s="1" t="n">
        <v>45971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45971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45971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45971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56704-2024</t>
        </is>
      </c>
      <c r="B93" s="1" t="n">
        <v>45627.83027777778</v>
      </c>
      <c r="C93" s="1" t="n">
        <v>45971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33007-2023</t>
        </is>
      </c>
      <c r="B94" s="1" t="n">
        <v>45125</v>
      </c>
      <c r="C94" s="1" t="n">
        <v>45971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56694-2024</t>
        </is>
      </c>
      <c r="B95" s="1" t="n">
        <v>45627.75526620371</v>
      </c>
      <c r="C95" s="1" t="n">
        <v>45971</v>
      </c>
      <c r="D95" t="inlineStr">
        <is>
          <t>VÄSTMANLANDS LÄN</t>
        </is>
      </c>
      <c r="E95" t="inlineStr">
        <is>
          <t>FAGERSTA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58594-2024</t>
        </is>
      </c>
      <c r="B96" s="1" t="n">
        <v>45635</v>
      </c>
      <c r="C96" s="1" t="n">
        <v>45971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45971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45971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19888-2025</t>
        </is>
      </c>
      <c r="B99" s="1" t="n">
        <v>45771.57357638889</v>
      </c>
      <c r="C99" s="1" t="n">
        <v>45971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37955-2023</t>
        </is>
      </c>
      <c r="B100" s="1" t="n">
        <v>45160</v>
      </c>
      <c r="C100" s="1" t="n">
        <v>45971</v>
      </c>
      <c r="D100" t="inlineStr">
        <is>
          <t>VÄSTMANLANDS LÄN</t>
        </is>
      </c>
      <c r="E100" t="inlineStr">
        <is>
          <t>FAGERSTA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39157-2024</t>
        </is>
      </c>
      <c r="B101" s="1" t="n">
        <v>45548.63049768518</v>
      </c>
      <c r="C101" s="1" t="n">
        <v>45971</v>
      </c>
      <c r="D101" t="inlineStr">
        <is>
          <t>VÄSTMANLANDS LÄN</t>
        </is>
      </c>
      <c r="E101" t="inlineStr">
        <is>
          <t>FAGERSTA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58464-2024</t>
        </is>
      </c>
      <c r="B102" s="1" t="n">
        <v>45635</v>
      </c>
      <c r="C102" s="1" t="n">
        <v>45971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19156-2025</t>
        </is>
      </c>
      <c r="B103" s="1" t="n">
        <v>45769</v>
      </c>
      <c r="C103" s="1" t="n">
        <v>45971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25972-2025</t>
        </is>
      </c>
      <c r="B104" s="1" t="n">
        <v>45804.6315625</v>
      </c>
      <c r="C104" s="1" t="n">
        <v>45971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26165-2025</t>
        </is>
      </c>
      <c r="B105" s="1" t="n">
        <v>45805.45321759259</v>
      </c>
      <c r="C105" s="1" t="n">
        <v>45971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26163-2025</t>
        </is>
      </c>
      <c r="B106" s="1" t="n">
        <v>45805.45002314815</v>
      </c>
      <c r="C106" s="1" t="n">
        <v>45971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45971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45971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45971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50226-2025</t>
        </is>
      </c>
      <c r="B110" s="1" t="n">
        <v>45943</v>
      </c>
      <c r="C110" s="1" t="n">
        <v>45971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51836-2025</t>
        </is>
      </c>
      <c r="B111" s="1" t="n">
        <v>45952.33346064815</v>
      </c>
      <c r="C111" s="1" t="n">
        <v>45971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51782-2025</t>
        </is>
      </c>
      <c r="B112" s="1" t="n">
        <v>45951.66190972222</v>
      </c>
      <c r="C112" s="1" t="n">
        <v>45971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29072-2025</t>
        </is>
      </c>
      <c r="B113" s="1" t="n">
        <v>45821.51378472222</v>
      </c>
      <c r="C113" s="1" t="n">
        <v>45971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29074-2025</t>
        </is>
      </c>
      <c r="B114" s="1" t="n">
        <v>45821.51690972222</v>
      </c>
      <c r="C114" s="1" t="n">
        <v>45971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29075-2025</t>
        </is>
      </c>
      <c r="B115" s="1" t="n">
        <v>45821.51886574074</v>
      </c>
      <c r="C115" s="1" t="n">
        <v>45971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29073-2025</t>
        </is>
      </c>
      <c r="B116" s="1" t="n">
        <v>45821.51579861111</v>
      </c>
      <c r="C116" s="1" t="n">
        <v>45971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45971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45971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45971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45971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45971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45971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45971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32004-2025</t>
        </is>
      </c>
      <c r="B124" s="1" t="n">
        <v>45835</v>
      </c>
      <c r="C124" s="1" t="n">
        <v>45971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32001-2025</t>
        </is>
      </c>
      <c r="B125" s="1" t="n">
        <v>45835.37936342593</v>
      </c>
      <c r="C125" s="1" t="n">
        <v>45971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33238-2025</t>
        </is>
      </c>
      <c r="B126" s="1" t="n">
        <v>45840.64806712963</v>
      </c>
      <c r="C126" s="1" t="n">
        <v>45971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33232-2025</t>
        </is>
      </c>
      <c r="B127" s="1" t="n">
        <v>45840</v>
      </c>
      <c r="C127" s="1" t="n">
        <v>45971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11583-2025</t>
        </is>
      </c>
      <c r="B128" s="1" t="n">
        <v>45727</v>
      </c>
      <c r="C128" s="1" t="n">
        <v>45971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12913-2025</t>
        </is>
      </c>
      <c r="B129" s="1" t="n">
        <v>45733.83596064815</v>
      </c>
      <c r="C129" s="1" t="n">
        <v>45971</v>
      </c>
      <c r="D129" t="inlineStr">
        <is>
          <t>VÄSTMANLANDS LÄN</t>
        </is>
      </c>
      <c r="E129" t="inlineStr">
        <is>
          <t>FAGERSTA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45971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45971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45971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45971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65829-2020</t>
        </is>
      </c>
      <c r="B134" s="1" t="n">
        <v>44172</v>
      </c>
      <c r="C134" s="1" t="n">
        <v>45971</v>
      </c>
      <c r="D134" t="inlineStr">
        <is>
          <t>VÄSTMANLANDS LÄN</t>
        </is>
      </c>
      <c r="E134" t="inlineStr">
        <is>
          <t>FAGERSTA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45971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13495-2025</t>
        </is>
      </c>
      <c r="B136" s="1" t="n">
        <v>45736.44006944444</v>
      </c>
      <c r="C136" s="1" t="n">
        <v>45971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56698-2024</t>
        </is>
      </c>
      <c r="B137" s="1" t="n">
        <v>45627.79015046296</v>
      </c>
      <c r="C137" s="1" t="n">
        <v>45971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63480-2023</t>
        </is>
      </c>
      <c r="B138" s="1" t="n">
        <v>45274</v>
      </c>
      <c r="C138" s="1" t="n">
        <v>45971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30503-2021</t>
        </is>
      </c>
      <c r="B139" s="1" t="n">
        <v>44364</v>
      </c>
      <c r="C139" s="1" t="n">
        <v>45971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62686-2020</t>
        </is>
      </c>
      <c r="B140" s="1" t="n">
        <v>44161</v>
      </c>
      <c r="C140" s="1" t="n">
        <v>45971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10851-2023</t>
        </is>
      </c>
      <c r="B141" s="1" t="n">
        <v>44991</v>
      </c>
      <c r="C141" s="1" t="n">
        <v>45971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4264-2023</t>
        </is>
      </c>
      <c r="B142" s="1" t="n">
        <v>44953.56076388889</v>
      </c>
      <c r="C142" s="1" t="n">
        <v>45971</v>
      </c>
      <c r="D142" t="inlineStr">
        <is>
          <t>VÄSTMANLANDS LÄN</t>
        </is>
      </c>
      <c r="E142" t="inlineStr">
        <is>
          <t>FAGERSTA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46309-2025</t>
        </is>
      </c>
      <c r="B143" s="1" t="n">
        <v>45925.43568287037</v>
      </c>
      <c r="C143" s="1" t="n">
        <v>45971</v>
      </c>
      <c r="D143" t="inlineStr">
        <is>
          <t>VÄSTMANLANDS LÄN</t>
        </is>
      </c>
      <c r="E143" t="inlineStr">
        <is>
          <t>FAGERSTA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46346-2025</t>
        </is>
      </c>
      <c r="B144" s="1" t="n">
        <v>45925.47679398148</v>
      </c>
      <c r="C144" s="1" t="n">
        <v>45971</v>
      </c>
      <c r="D144" t="inlineStr">
        <is>
          <t>VÄSTMANLANDS LÄN</t>
        </is>
      </c>
      <c r="E144" t="inlineStr">
        <is>
          <t>FAGERSTA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54912-2025</t>
        </is>
      </c>
      <c r="B145" s="1" t="n">
        <v>45967.38167824074</v>
      </c>
      <c r="C145" s="1" t="n">
        <v>45971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46359-2025</t>
        </is>
      </c>
      <c r="B146" s="1" t="n">
        <v>45925.49538194444</v>
      </c>
      <c r="C146" s="1" t="n">
        <v>45971</v>
      </c>
      <c r="D146" t="inlineStr">
        <is>
          <t>VÄSTMANLANDS LÄN</t>
        </is>
      </c>
      <c r="E146" t="inlineStr">
        <is>
          <t>FAGERSTA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2025-11-10T10:12:37Z</dcterms:created>
  <dcterms:modified xmlns:dcterms="http://purl.org/dc/terms/" xmlns:xsi="http://www.w3.org/2001/XMLSchema-instance" xsi:type="dcterms:W3CDTF">2025-11-10T10:12:37Z</dcterms:modified>
</cp:coreProperties>
</file>