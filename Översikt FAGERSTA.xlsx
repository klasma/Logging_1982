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46265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46265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46265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46265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46265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46265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46265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46265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46265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46265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46265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46265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46265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46265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46265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46265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19550-2025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45770</v>
      </c>
      <c r="E18" s="1" t="n">
        <v>46265</v>
      </c>
      <c r="F18" t="inlineStr">
        <is>
          <t>VÄSTMANLANDS LÄN</t>
        </is>
      </c>
      <c r="G18" t="inlineStr">
        <is>
          <t>FAGERSTA</t>
        </is>
      </c>
      <c r="I18" t="n">
        <v>16.4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Fläcknycklar</t>
        </is>
      </c>
      <c r="W18">
        <f>HYPERLINK("https://klasma.github.io/Logging_1982/artfynd/A 19550-2025 artfynd.xlsx", "A 19550-2025")</f>
        <v/>
      </c>
      <c r="X18">
        <f>HYPERLINK("https://klasma.github.io/Logging_1982/kartor/A 19550-2025 karta.png", "A 19550-2025")</f>
        <v/>
      </c>
      <c r="Y18">
        <f>HYPERLINK("https://klasma.github.io/Logging_1982/kartor_geotiff/A 19550-2025 georefererad karta.tif", "A 19550-2025")</f>
        <v/>
      </c>
      <c r="AA18">
        <f>HYPERLINK("https://klasma.github.io/Logging_1982/klagomål/A 19550-2025 FSC-klagomål.docx", "A 19550-2025")</f>
        <v/>
      </c>
      <c r="AB18">
        <f>HYPERLINK("https://klasma.github.io/Logging_1982/klagomålsmail/A 19550-2025 FSC-klagomål mail.docx", "A 19550-2025")</f>
        <v/>
      </c>
      <c r="AC18">
        <f>HYPERLINK("https://klasma.github.io/Logging_1982/tillsyn/A 19550-2025 tillsynsbegäran.docx", "A 19550-2025")</f>
        <v/>
      </c>
      <c r="AD18">
        <f>HYPERLINK("https://klasma.github.io/Logging_1982/tillsynsmail/A 19550-2025 tillsynsbegäran mail.docx", "A 19550-2025")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46265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46265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46265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46265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46265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46265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46265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46265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46265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46265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46265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46265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46265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46265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46265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46265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46265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46265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58310-2024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45632</v>
      </c>
      <c r="E37" s="1" t="n">
        <v>46265</v>
      </c>
      <c r="F37" t="inlineStr">
        <is>
          <t>VÄSTMANLANDS LÄN</t>
        </is>
      </c>
      <c r="G37" t="inlineStr">
        <is>
          <t>FAGERSTA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46265</v>
      </c>
      <c r="F38" t="inlineStr">
        <is>
          <t>VÄSTMANLANDS LÄN</t>
        </is>
      </c>
      <c r="G38" t="inlineStr">
        <is>
          <t>FAGERSTA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44998</v>
      </c>
      <c r="E39" s="1" t="n">
        <v>46265</v>
      </c>
      <c r="F39" t="inlineStr">
        <is>
          <t>VÄSTMANLANDS LÄN</t>
        </is>
      </c>
      <c r="G39" t="inlineStr">
        <is>
          <t>FAGERSTA</t>
        </is>
      </c>
      <c r="H39" t="inlineStr">
        <is>
          <t>Övriga Aktiebolag</t>
        </is>
      </c>
      <c r="I39" t="n">
        <v>6.9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46265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18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45785</v>
      </c>
      <c r="E41" s="1" t="n">
        <v>46265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6.7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45439</v>
      </c>
      <c r="E42" s="1" t="n">
        <v>46265</v>
      </c>
      <c r="F42" t="inlineStr">
        <is>
          <t>VÄSTMANLANDS LÄN</t>
        </is>
      </c>
      <c r="G42" t="inlineStr">
        <is>
          <t>FAGERSTA</t>
        </is>
      </c>
      <c r="I42" t="n">
        <v>6.9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45627</v>
      </c>
      <c r="E43" s="1" t="n">
        <v>46265</v>
      </c>
      <c r="F43" t="inlineStr">
        <is>
          <t>VÄSTMANLANDS LÄN</t>
        </is>
      </c>
      <c r="G43" t="inlineStr">
        <is>
          <t>FAGERSTA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58594-2024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45635</v>
      </c>
      <c r="E44" s="1" t="n">
        <v>46265</v>
      </c>
      <c r="F44" t="inlineStr">
        <is>
          <t>VÄSTMANLANDS LÄN</t>
        </is>
      </c>
      <c r="G44" t="inlineStr">
        <is>
          <t>FAGERSTA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57855-2023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46265</v>
      </c>
      <c r="F45" t="inlineStr">
        <is>
          <t>VÄSTMANLANDS LÄN</t>
        </is>
      </c>
      <c r="G45" t="inlineStr">
        <is>
          <t>FAGERSTA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46265</v>
      </c>
      <c r="F46" t="inlineStr">
        <is>
          <t>VÄSTMANLANDS LÄN</t>
        </is>
      </c>
      <c r="G46" t="inlineStr">
        <is>
          <t>FAGERSTA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44919</v>
      </c>
      <c r="E47" s="1" t="n">
        <v>46265</v>
      </c>
      <c r="F47" t="inlineStr">
        <is>
          <t>VÄSTMANLANDS LÄN</t>
        </is>
      </c>
      <c r="G47" t="inlineStr">
        <is>
          <t>FAGERSTA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48261-2022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44858</v>
      </c>
      <c r="E48" s="1" t="n">
        <v>46265</v>
      </c>
      <c r="F48" t="inlineStr">
        <is>
          <t>VÄSTMANLANDS LÄN</t>
        </is>
      </c>
      <c r="G48" t="inlineStr">
        <is>
          <t>FAGERSTA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39157-2024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45548</v>
      </c>
      <c r="E49" s="1" t="n">
        <v>46265</v>
      </c>
      <c r="F49" t="inlineStr">
        <is>
          <t>VÄSTMANLANDS LÄN</t>
        </is>
      </c>
      <c r="G49" t="inlineStr">
        <is>
          <t>FAGERSTA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46265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46265</v>
      </c>
      <c r="F51" t="inlineStr">
        <is>
          <t>VÄSTMANLANDS LÄN</t>
        </is>
      </c>
      <c r="G51" t="inlineStr">
        <is>
          <t>FAGERSTA</t>
        </is>
      </c>
      <c r="H51" t="inlineStr">
        <is>
          <t>Bergvik skog väst AB</t>
        </is>
      </c>
      <c r="I51" t="n">
        <v>22.6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42844-2024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45566</v>
      </c>
      <c r="E52" s="1" t="n">
        <v>46265</v>
      </c>
      <c r="F52" t="inlineStr">
        <is>
          <t>VÄSTMANLANDS LÄN</t>
        </is>
      </c>
      <c r="G52" t="inlineStr">
        <is>
          <t>FAGERSTA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45442</v>
      </c>
      <c r="E53" s="1" t="n">
        <v>46265</v>
      </c>
      <c r="F53" t="inlineStr">
        <is>
          <t>VÄSTMANLANDS LÄN</t>
        </is>
      </c>
      <c r="G53" t="inlineStr">
        <is>
          <t>FAGERSTA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46265</v>
      </c>
      <c r="F54" t="inlineStr">
        <is>
          <t>VÄSTMANLANDS LÄN</t>
        </is>
      </c>
      <c r="G54" t="inlineStr">
        <is>
          <t>FAGERSTA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22482-2023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45071</v>
      </c>
      <c r="E55" s="1" t="n">
        <v>46265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46265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33238-2025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45840</v>
      </c>
      <c r="E57" s="1" t="n">
        <v>46265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33232-2025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45840</v>
      </c>
      <c r="E58" s="1" t="n">
        <v>46265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33236-2025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45840</v>
      </c>
      <c r="E59" s="1" t="n">
        <v>46265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34374-2025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45846</v>
      </c>
      <c r="E60" s="1" t="n">
        <v>46265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28425-2025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45819</v>
      </c>
      <c r="E61" s="1" t="n">
        <v>46265</v>
      </c>
      <c r="F61" t="inlineStr">
        <is>
          <t>VÄSTMANLANDS LÄN</t>
        </is>
      </c>
      <c r="G61" t="inlineStr">
        <is>
          <t>FAGERSTA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44998</v>
      </c>
      <c r="E62" s="1" t="n">
        <v>46265</v>
      </c>
      <c r="F62" t="inlineStr">
        <is>
          <t>VÄSTMANLANDS LÄN</t>
        </is>
      </c>
      <c r="G62" t="inlineStr">
        <is>
          <t>FAGERSTA</t>
        </is>
      </c>
      <c r="H62" t="inlineStr">
        <is>
          <t>Övriga Aktiebolag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45503</v>
      </c>
      <c r="E63" s="1" t="n">
        <v>46265</v>
      </c>
      <c r="F63" t="inlineStr">
        <is>
          <t>VÄSTMANLANDS LÄN</t>
        </is>
      </c>
      <c r="G63" t="inlineStr">
        <is>
          <t>FAGERSTA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63305-2025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46010</v>
      </c>
      <c r="E64" s="1" t="n">
        <v>46265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45722</v>
      </c>
      <c r="E65" s="1" t="n">
        <v>46265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11.5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7380-2025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45705</v>
      </c>
      <c r="E66" s="1" t="n">
        <v>46265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46265</v>
      </c>
      <c r="F67" t="inlineStr">
        <is>
          <t>VÄSTMANLANDS LÄN</t>
        </is>
      </c>
      <c r="G67" t="inlineStr">
        <is>
          <t>FAGERSTA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46265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45789</v>
      </c>
      <c r="E69" s="1" t="n">
        <v>46265</v>
      </c>
      <c r="F69" t="inlineStr">
        <is>
          <t>VÄSTMANLANDS LÄN</t>
        </is>
      </c>
      <c r="G69" t="inlineStr">
        <is>
          <t>FAGERSTA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46265</v>
      </c>
      <c r="F70" t="inlineStr">
        <is>
          <t>VÄSTMANLANDS LÄN</t>
        </is>
      </c>
      <c r="G70" t="inlineStr">
        <is>
          <t>FAGERSTA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45071</v>
      </c>
      <c r="E71" s="1" t="n">
        <v>46265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45236</v>
      </c>
      <c r="E72" s="1" t="n">
        <v>46265</v>
      </c>
      <c r="F72" t="inlineStr">
        <is>
          <t>VÄSTMANLANDS LÄN</t>
        </is>
      </c>
      <c r="G72" t="inlineStr">
        <is>
          <t>FAGERSTA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22323-2024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46265</v>
      </c>
      <c r="F73" t="inlineStr">
        <is>
          <t>VÄSTMANLANDS LÄN</t>
        </is>
      </c>
      <c r="G73" t="inlineStr">
        <is>
          <t>FAGERSTA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46265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46265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44781</v>
      </c>
      <c r="E76" s="1" t="n">
        <v>46265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60374-2025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45995</v>
      </c>
      <c r="E77" s="1" t="n">
        <v>46265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46077</v>
      </c>
      <c r="E78" s="1" t="n">
        <v>46265</v>
      </c>
      <c r="F78" t="inlineStr">
        <is>
          <t>VÄSTMANLANDS LÄN</t>
        </is>
      </c>
      <c r="G78" t="inlineStr">
        <is>
          <t>FAGERSTA</t>
        </is>
      </c>
      <c r="H78" t="inlineStr">
        <is>
          <t>Bergvik skog väst AB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56739-2021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46265</v>
      </c>
      <c r="F79" t="inlineStr">
        <is>
          <t>VÄSTMANLANDS LÄN</t>
        </is>
      </c>
      <c r="G79" t="inlineStr">
        <is>
          <t>FAGERSTA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46077</v>
      </c>
      <c r="E80" s="1" t="n">
        <v>46265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19.5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46265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18.6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46265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45627</v>
      </c>
      <c r="E83" s="1" t="n">
        <v>46265</v>
      </c>
      <c r="F83" t="inlineStr">
        <is>
          <t>VÄSTMANLANDS LÄN</t>
        </is>
      </c>
      <c r="G83" t="inlineStr">
        <is>
          <t>FAGERSTA</t>
        </is>
      </c>
      <c r="I83" t="n">
        <v>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19888-2025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45771</v>
      </c>
      <c r="E84" s="1" t="n">
        <v>46265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45160</v>
      </c>
      <c r="E85" s="1" t="n">
        <v>46265</v>
      </c>
      <c r="F85" t="inlineStr">
        <is>
          <t>VÄSTMANLANDS LÄN</t>
        </is>
      </c>
      <c r="G85" t="inlineStr">
        <is>
          <t>FAGERSTA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45635</v>
      </c>
      <c r="E86" s="1" t="n">
        <v>46265</v>
      </c>
      <c r="F86" t="inlineStr">
        <is>
          <t>VÄSTMANLANDS LÄN</t>
        </is>
      </c>
      <c r="G86" t="inlineStr">
        <is>
          <t>FAGERSTA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46265</v>
      </c>
      <c r="F87" t="inlineStr">
        <is>
          <t>VÄSTMANLANDS LÄN</t>
        </is>
      </c>
      <c r="G87" t="inlineStr">
        <is>
          <t>FAGERSTA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46265</v>
      </c>
      <c r="F88" t="inlineStr">
        <is>
          <t>VÄSTMANLANDS LÄN</t>
        </is>
      </c>
      <c r="G88" t="inlineStr">
        <is>
          <t>FAGERSTA</t>
        </is>
      </c>
      <c r="H88" t="inlineStr">
        <is>
          <t>Bergvik skog väst AB</t>
        </is>
      </c>
      <c r="I88" t="n">
        <v>10.1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13697-2025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45737</v>
      </c>
      <c r="E89" s="1" t="n">
        <v>46265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46265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46265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46128</v>
      </c>
      <c r="E92" s="1" t="n">
        <v>46265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18783-2026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46128</v>
      </c>
      <c r="E93" s="1" t="n">
        <v>46265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46265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33357-2023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45128</v>
      </c>
      <c r="E95" s="1" t="n">
        <v>46265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46134</v>
      </c>
      <c r="E96" s="1" t="n">
        <v>46265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19708-2026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46134</v>
      </c>
      <c r="E97" s="1" t="n">
        <v>46265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19825-2026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46135</v>
      </c>
      <c r="E98" s="1" t="n">
        <v>46265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45193</v>
      </c>
      <c r="E99" s="1" t="n">
        <v>46265</v>
      </c>
      <c r="F99" t="inlineStr">
        <is>
          <t>VÄSTMANLANDS LÄN</t>
        </is>
      </c>
      <c r="G99" t="inlineStr">
        <is>
          <t>FAGERSTA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20583-2026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46140</v>
      </c>
      <c r="E100" s="1" t="n">
        <v>46265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45627</v>
      </c>
      <c r="E101" s="1" t="n">
        <v>46265</v>
      </c>
      <c r="F101" t="inlineStr">
        <is>
          <t>VÄSTMANLANDS LÄN</t>
        </is>
      </c>
      <c r="G101" t="inlineStr">
        <is>
          <t>FAGERSTA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63480-2023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45274</v>
      </c>
      <c r="E102" s="1" t="n">
        <v>46265</v>
      </c>
      <c r="F102" t="inlineStr">
        <is>
          <t>VÄSTMANLANDS LÄN</t>
        </is>
      </c>
      <c r="G102" t="inlineStr">
        <is>
          <t>FAGERSTA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44953</v>
      </c>
      <c r="E103" s="1" t="n">
        <v>46265</v>
      </c>
      <c r="F103" t="inlineStr">
        <is>
          <t>VÄSTMANLANDS LÄN</t>
        </is>
      </c>
      <c r="G103" t="inlineStr">
        <is>
          <t>FAGERSTA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46265</v>
      </c>
      <c r="F104" t="inlineStr">
        <is>
          <t>VÄSTMANLANDS LÄN</t>
        </is>
      </c>
      <c r="G104" t="inlineStr">
        <is>
          <t>FAGERSTA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46265</v>
      </c>
      <c r="F105" t="inlineStr">
        <is>
          <t>VÄSTMANLANDS LÄN</t>
        </is>
      </c>
      <c r="G105" t="inlineStr">
        <is>
          <t>FAGERSTA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46265</v>
      </c>
      <c r="F106" t="inlineStr">
        <is>
          <t>VÄSTMANLANDS LÄN</t>
        </is>
      </c>
      <c r="G106" t="inlineStr">
        <is>
          <t>FAGERSTA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46265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13391-2026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46094</v>
      </c>
      <c r="E108" s="1" t="n">
        <v>46265</v>
      </c>
      <c r="F108" t="inlineStr">
        <is>
          <t>VÄSTMANLANDS LÄN</t>
        </is>
      </c>
      <c r="G108" t="inlineStr">
        <is>
          <t>FAGERSTA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46265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46265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21888-2026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46265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46265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46265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46265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11.8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46265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14.6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41644-2025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45902</v>
      </c>
      <c r="E116" s="1" t="n">
        <v>46265</v>
      </c>
      <c r="F116" t="inlineStr">
        <is>
          <t>VÄSTMANLANDS LÄN</t>
        </is>
      </c>
      <c r="G116" t="inlineStr">
        <is>
          <t>FAGERSTA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46265</v>
      </c>
      <c r="F117" t="inlineStr">
        <is>
          <t>VÄSTMANLANDS LÄN</t>
        </is>
      </c>
      <c r="G117" t="inlineStr">
        <is>
          <t>FAGERSTA</t>
        </is>
      </c>
      <c r="I117" t="n">
        <v>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46164</v>
      </c>
      <c r="E118" s="1" t="n">
        <v>46265</v>
      </c>
      <c r="F118" t="inlineStr">
        <is>
          <t>VÄSTMANLANDS LÄN</t>
        </is>
      </c>
      <c r="G118" t="inlineStr">
        <is>
          <t>FAGERSTA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46265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31482-2026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46223</v>
      </c>
      <c r="E120" s="1" t="n">
        <v>46265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45835</v>
      </c>
      <c r="E121" s="1" t="n">
        <v>46265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32433-2026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46239</v>
      </c>
      <c r="E122" s="1" t="n">
        <v>46265</v>
      </c>
      <c r="F122" t="inlineStr">
        <is>
          <t>VÄSTMANLANDS LÄN</t>
        </is>
      </c>
      <c r="G122" t="inlineStr">
        <is>
          <t>FAGERSTA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46246</v>
      </c>
      <c r="E123" s="1" t="n">
        <v>46265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46265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33322-2026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46246</v>
      </c>
      <c r="E125" s="1" t="n">
        <v>46265</v>
      </c>
      <c r="F125" t="inlineStr">
        <is>
          <t>VÄSTMANLANDS LÄN</t>
        </is>
      </c>
      <c r="G125" t="inlineStr">
        <is>
          <t>FAGERSTA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34766-2026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46258</v>
      </c>
      <c r="E126" s="1" t="n">
        <v>46265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46213</v>
      </c>
      <c r="E127" s="1" t="n">
        <v>46265</v>
      </c>
      <c r="F127" t="inlineStr">
        <is>
          <t>VÄSTMANLANDS LÄN</t>
        </is>
      </c>
      <c r="G127" t="inlineStr">
        <is>
          <t>FAGERSTA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46265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46265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46265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46265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46265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46265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46265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2213-2026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46258</v>
      </c>
      <c r="E135" s="1" t="n">
        <v>46265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2026-08-31T09:55:46Z</dcterms:created>
  <dcterms:modified xmlns:dcterms="http://purl.org/dc/terms/" xmlns:xsi="http://www.w3.org/2001/XMLSchema-instance" xsi:type="dcterms:W3CDTF">2026-08-31T09:55:46Z</dcterms:modified>
</cp:coreProperties>
</file>