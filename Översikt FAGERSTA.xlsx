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46229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46229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46229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46229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46229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46229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46229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46229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46229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46229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46229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46229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46229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46229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HYPERLINK("https://klasma.github.io/Logging_1982/artfynd/A 38128-2021 artfynd.xlsx", "A 38128-2021")</f>
        <v/>
      </c>
      <c r="X15">
        <f>HYPERLINK("https://klasma.github.io/Logging_1982/kartor/A 38128-2021 karta.png", "A 38128-2021")</f>
        <v/>
      </c>
      <c r="Y15">
        <f>HYPERLINK("https://klasma.github.io/Logging_1982/kartor_geotiff/A 38128-2021 georefererad karta.tif", "A 38128-2021")</f>
        <v/>
      </c>
      <c r="Z15">
        <f>HYPERLINK("https://klasma.github.io/Logging_1982/knärot/A 38128-2021 karta knärot.png", "A 38128-2021")</f>
        <v/>
      </c>
      <c r="AA15">
        <f>HYPERLINK("https://klasma.github.io/Logging_1982/klagomål/A 38128-2021 FSC-klagomål.docx", "A 38128-2021")</f>
        <v/>
      </c>
      <c r="AB15">
        <f>HYPERLINK("https://klasma.github.io/Logging_1982/klagomålsmail/A 38128-2021 FSC-klagomål mail.docx", "A 38128-2021")</f>
        <v/>
      </c>
      <c r="AC15">
        <f>HYPERLINK("https://klasma.github.io/Logging_1982/tillsyn/A 38128-2021 tillsynsbegäran.docx", "A 38128-2021")</f>
        <v/>
      </c>
      <c r="AD15">
        <f>HYPERLINK("https://klasma.github.io/Logging_1982/tillsynsmail/A 38128-2021 tillsynsbegäran mail.docx", "A 38128-2021")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46229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46229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46229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38127-2021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44405</v>
      </c>
      <c r="E19" s="1" t="n">
        <v>46229</v>
      </c>
      <c r="F19" t="inlineStr">
        <is>
          <t>VÄSTMANLANDS LÄN</t>
        </is>
      </c>
      <c r="G19" t="inlineStr">
        <is>
          <t>FAGERSTA</t>
        </is>
      </c>
      <c r="H19" t="inlineStr">
        <is>
          <t>Sveaskog</t>
        </is>
      </c>
      <c r="I19" t="n">
        <v>2.8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HYPERLINK("https://klasma.github.io/Logging_1982/artfynd/A 38127-2021 artfynd.xlsx", "A 38127-2021")</f>
        <v/>
      </c>
      <c r="X19">
        <f>HYPERLINK("https://klasma.github.io/Logging_1982/kartor/A 38127-2021 karta.png", "A 38127-2021")</f>
        <v/>
      </c>
      <c r="Y19">
        <f>HYPERLINK("https://klasma.github.io/Logging_1982/kartor_geotiff/A 38127-2021 georefererad karta.tif", "A 38127-2021")</f>
        <v/>
      </c>
      <c r="Z19">
        <f>HYPERLINK("https://klasma.github.io/Logging_1982/knärot/A 38127-2021 karta knärot.png", "A 38127-2021")</f>
        <v/>
      </c>
      <c r="AA19">
        <f>HYPERLINK("https://klasma.github.io/Logging_1982/klagomål/A 38127-2021 FSC-klagomål.docx", "A 38127-2021")</f>
        <v/>
      </c>
      <c r="AB19">
        <f>HYPERLINK("https://klasma.github.io/Logging_1982/klagomålsmail/A 38127-2021 FSC-klagomål mail.docx", "A 38127-2021")</f>
        <v/>
      </c>
      <c r="AC19">
        <f>HYPERLINK("https://klasma.github.io/Logging_1982/tillsyn/A 38127-2021 tillsynsbegäran.docx", "A 38127-2021")</f>
        <v/>
      </c>
      <c r="AD19">
        <f>HYPERLINK("https://klasma.github.io/Logging_1982/tillsynsmail/A 38127-2021 tillsynsbegäran mail.docx", "A 38127-2021")</f>
        <v/>
      </c>
    </row>
    <row r="20" ht="15" customHeight="1">
      <c r="A20" t="inlineStr">
        <is>
          <t>A 50226-2025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45943</v>
      </c>
      <c r="E20" s="1" t="n">
        <v>46229</v>
      </c>
      <c r="F20" t="inlineStr">
        <is>
          <t>VÄSTMANLANDS LÄN</t>
        </is>
      </c>
      <c r="G20" t="inlineStr">
        <is>
          <t>FAGERSTA</t>
        </is>
      </c>
      <c r="H20" t="inlineStr">
        <is>
          <t>Kommuner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Ärtsångare</t>
        </is>
      </c>
      <c r="W20">
        <f>HYPERLINK("https://klasma.github.io/Logging_1982/artfynd/A 50226-2025 artfynd.xlsx", "A 50226-2025")</f>
        <v/>
      </c>
      <c r="X20">
        <f>HYPERLINK("https://klasma.github.io/Logging_1982/kartor/A 50226-2025 karta.png", "A 50226-2025")</f>
        <v/>
      </c>
      <c r="Y20">
        <f>HYPERLINK("https://klasma.github.io/Logging_1982/kartor_geotiff/A 50226-2025 georefererad karta.tif", "A 50226-2025")</f>
        <v/>
      </c>
      <c r="AA20">
        <f>HYPERLINK("https://klasma.github.io/Logging_1982/klagomål/A 50226-2025 FSC-klagomål.docx", "A 50226-2025")</f>
        <v/>
      </c>
      <c r="AB20">
        <f>HYPERLINK("https://klasma.github.io/Logging_1982/klagomålsmail/A 50226-2025 FSC-klagomål mail.docx", "A 50226-2025")</f>
        <v/>
      </c>
      <c r="AC20">
        <f>HYPERLINK("https://klasma.github.io/Logging_1982/tillsyn/A 50226-2025 tillsynsbegäran.docx", "A 50226-2025")</f>
        <v/>
      </c>
      <c r="AD20">
        <f>HYPERLINK("https://klasma.github.io/Logging_1982/tillsynsmail/A 50226-2025 tillsynsbegäran mail.docx", "A 50226-2025")</f>
        <v/>
      </c>
    </row>
    <row r="21" ht="15" customHeight="1">
      <c r="A21" t="inlineStr">
        <is>
          <t>A 58307-2024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46229</v>
      </c>
      <c r="F21" t="inlineStr">
        <is>
          <t>VÄSTMANLANDS LÄN</t>
        </is>
      </c>
      <c r="G21" t="inlineStr">
        <is>
          <t>FAGERSTA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Mindre märgborre</t>
        </is>
      </c>
      <c r="W21">
        <f>HYPERLINK("https://klasma.github.io/Logging_1982/artfynd/A 58307-2024 artfynd.xlsx", "A 58307-2024")</f>
        <v/>
      </c>
      <c r="X21">
        <f>HYPERLINK("https://klasma.github.io/Logging_1982/kartor/A 58307-2024 karta.png", "A 58307-2024")</f>
        <v/>
      </c>
      <c r="Y21">
        <f>HYPERLINK("https://klasma.github.io/Logging_1982/kartor_geotiff/A 58307-2024 georefererad karta.tif", "A 58307-2024")</f>
        <v/>
      </c>
      <c r="AA21">
        <f>HYPERLINK("https://klasma.github.io/Logging_1982/klagomål/A 58307-2024 FSC-klagomål.docx", "A 58307-2024")</f>
        <v/>
      </c>
      <c r="AB21">
        <f>HYPERLINK("https://klasma.github.io/Logging_1982/klagomålsmail/A 58307-2024 FSC-klagomål mail.docx", "A 58307-2024")</f>
        <v/>
      </c>
      <c r="AC21">
        <f>HYPERLINK("https://klasma.github.io/Logging_1982/tillsyn/A 58307-2024 tillsynsbegäran.docx", "A 58307-2024")</f>
        <v/>
      </c>
      <c r="AD21">
        <f>HYPERLINK("https://klasma.github.io/Logging_1982/tillsynsmail/A 58307-2024 tillsynsbegäran mail.docx", "A 58307-2024")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46229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46229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46229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46229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46229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46229</v>
      </c>
      <c r="F27" t="inlineStr">
        <is>
          <t>VÄSTMANLANDS LÄN</t>
        </is>
      </c>
      <c r="G27" t="inlineStr">
        <is>
          <t>FAGERSTA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44776</v>
      </c>
      <c r="E28" s="1" t="n">
        <v>46229</v>
      </c>
      <c r="F28" t="inlineStr">
        <is>
          <t>VÄSTMANLANDS LÄN</t>
        </is>
      </c>
      <c r="G28" t="inlineStr">
        <is>
          <t>FAGERSTA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30868-2022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44767</v>
      </c>
      <c r="E29" s="1" t="n">
        <v>46229</v>
      </c>
      <c r="F29" t="inlineStr">
        <is>
          <t>VÄSTMANLANDS LÄN</t>
        </is>
      </c>
      <c r="G29" t="inlineStr">
        <is>
          <t>FAGERSTA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74425-2021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44564</v>
      </c>
      <c r="E30" s="1" t="n">
        <v>46229</v>
      </c>
      <c r="F30" t="inlineStr">
        <is>
          <t>VÄSTMANLANDS LÄN</t>
        </is>
      </c>
      <c r="G30" t="inlineStr">
        <is>
          <t>FAGERSTA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29510-2022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44753</v>
      </c>
      <c r="E31" s="1" t="n">
        <v>46229</v>
      </c>
      <c r="F31" t="inlineStr">
        <is>
          <t>VÄSTMANLANDS LÄN</t>
        </is>
      </c>
      <c r="G31" t="inlineStr">
        <is>
          <t>FAGERSTA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46229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46229</v>
      </c>
      <c r="F33" t="inlineStr">
        <is>
          <t>VÄSTMANLANDS LÄN</t>
        </is>
      </c>
      <c r="G33" t="inlineStr">
        <is>
          <t>FAGERSTA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46229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46229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46229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46229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46229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54804-2023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46229</v>
      </c>
      <c r="F39" t="inlineStr">
        <is>
          <t>VÄSTMANLANDS LÄN</t>
        </is>
      </c>
      <c r="G39" t="inlineStr">
        <is>
          <t>FAGERSTA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48261-2022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44858</v>
      </c>
      <c r="E40" s="1" t="n">
        <v>46229</v>
      </c>
      <c r="F40" t="inlineStr">
        <is>
          <t>VÄSTMANLANDS LÄN</t>
        </is>
      </c>
      <c r="G40" t="inlineStr">
        <is>
          <t>FAGERSTA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56694-2024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45627</v>
      </c>
      <c r="E41" s="1" t="n">
        <v>46229</v>
      </c>
      <c r="F41" t="inlineStr">
        <is>
          <t>VÄSTMANLANDS LÄN</t>
        </is>
      </c>
      <c r="G41" t="inlineStr">
        <is>
          <t>FAGERSTA</t>
        </is>
      </c>
      <c r="I41" t="n">
        <v>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22482-2023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45071</v>
      </c>
      <c r="E42" s="1" t="n">
        <v>46229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22485-2023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45071</v>
      </c>
      <c r="E43" s="1" t="n">
        <v>46229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46229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46229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44739</v>
      </c>
      <c r="E46" s="1" t="n">
        <v>46229</v>
      </c>
      <c r="F46" t="inlineStr">
        <is>
          <t>VÄSTMANLANDS LÄN</t>
        </is>
      </c>
      <c r="G46" t="inlineStr">
        <is>
          <t>FAGERSTA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44861</v>
      </c>
      <c r="E47" s="1" t="n">
        <v>46229</v>
      </c>
      <c r="F47" t="inlineStr">
        <is>
          <t>VÄSTMANLANDS LÄN</t>
        </is>
      </c>
      <c r="G47" t="inlineStr">
        <is>
          <t>FAGERSTA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46229</v>
      </c>
      <c r="F48" t="inlineStr">
        <is>
          <t>VÄSTMANLANDS LÄN</t>
        </is>
      </c>
      <c r="G48" t="inlineStr">
        <is>
          <t>FAGERSTA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42844-2024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45566</v>
      </c>
      <c r="E49" s="1" t="n">
        <v>46229</v>
      </c>
      <c r="F49" t="inlineStr">
        <is>
          <t>VÄSTMANLANDS LÄN</t>
        </is>
      </c>
      <c r="G49" t="inlineStr">
        <is>
          <t>FAGERSTA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58464-2024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45635</v>
      </c>
      <c r="E50" s="1" t="n">
        <v>46229</v>
      </c>
      <c r="F50" t="inlineStr">
        <is>
          <t>VÄSTMANLANDS LÄN</t>
        </is>
      </c>
      <c r="G50" t="inlineStr">
        <is>
          <t>FAGERSTA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44919</v>
      </c>
      <c r="E51" s="1" t="n">
        <v>46229</v>
      </c>
      <c r="F51" t="inlineStr">
        <is>
          <t>VÄSTMANLANDS LÄN</t>
        </is>
      </c>
      <c r="G51" t="inlineStr">
        <is>
          <t>FAGERSTA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19708-2026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46134</v>
      </c>
      <c r="E52" s="1" t="n">
        <v>46229</v>
      </c>
      <c r="F52" t="inlineStr">
        <is>
          <t>VÄSTMANLANDS LÄN</t>
        </is>
      </c>
      <c r="G52" t="inlineStr">
        <is>
          <t>FAGERSTA</t>
        </is>
      </c>
      <c r="H52" t="inlineStr">
        <is>
          <t>Sveaskog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46229</v>
      </c>
      <c r="F53" t="inlineStr">
        <is>
          <t>VÄSTMANLANDS LÄN</t>
        </is>
      </c>
      <c r="G53" t="inlineStr">
        <is>
          <t>FAGERSTA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45925</v>
      </c>
      <c r="E54" s="1" t="n">
        <v>46229</v>
      </c>
      <c r="F54" t="inlineStr">
        <is>
          <t>VÄSTMANLANDS LÄN</t>
        </is>
      </c>
      <c r="G54" t="inlineStr">
        <is>
          <t>FAGERSTA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29073-2025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45821</v>
      </c>
      <c r="E55" s="1" t="n">
        <v>46229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20583-2026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46140</v>
      </c>
      <c r="E56" s="1" t="n">
        <v>46229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13391-2026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46094</v>
      </c>
      <c r="E57" s="1" t="n">
        <v>46229</v>
      </c>
      <c r="F57" t="inlineStr">
        <is>
          <t>VÄSTMANLANDS LÄN</t>
        </is>
      </c>
      <c r="G57" t="inlineStr">
        <is>
          <t>FAGERSTA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51586-2023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45222</v>
      </c>
      <c r="E58" s="1" t="n">
        <v>46229</v>
      </c>
      <c r="F58" t="inlineStr">
        <is>
          <t>VÄSTMANLANDS LÄN</t>
        </is>
      </c>
      <c r="G58" t="inlineStr">
        <is>
          <t>FAGERSTA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45247</v>
      </c>
      <c r="E59" s="1" t="n">
        <v>46229</v>
      </c>
      <c r="F59" t="inlineStr">
        <is>
          <t>VÄSTMANLANDS LÄN</t>
        </is>
      </c>
      <c r="G59" t="inlineStr">
        <is>
          <t>FAGERSTA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55794-2025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45972</v>
      </c>
      <c r="E60" s="1" t="n">
        <v>46229</v>
      </c>
      <c r="F60" t="inlineStr">
        <is>
          <t>VÄSTMANLANDS LÄN</t>
        </is>
      </c>
      <c r="G60" t="inlineStr">
        <is>
          <t>FAGERSTA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63480-2023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45274</v>
      </c>
      <c r="E61" s="1" t="n">
        <v>46229</v>
      </c>
      <c r="F61" t="inlineStr">
        <is>
          <t>VÄSTMANLANDS LÄN</t>
        </is>
      </c>
      <c r="G61" t="inlineStr">
        <is>
          <t>FAGERSTA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46150</v>
      </c>
      <c r="E62" s="1" t="n">
        <v>46229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11.8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57405-2025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45980</v>
      </c>
      <c r="E63" s="1" t="n">
        <v>46229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21890-2026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46150</v>
      </c>
      <c r="E64" s="1" t="n">
        <v>46229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21888-2026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46229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21889-2026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46229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21892-2026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46150</v>
      </c>
      <c r="E67" s="1" t="n">
        <v>46229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46229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45902</v>
      </c>
      <c r="E69" s="1" t="n">
        <v>46229</v>
      </c>
      <c r="F69" t="inlineStr">
        <is>
          <t>VÄSTMANLANDS LÄN</t>
        </is>
      </c>
      <c r="G69" t="inlineStr">
        <is>
          <t>FAGERSTA</t>
        </is>
      </c>
      <c r="H69" t="inlineStr">
        <is>
          <t>Kommuner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45627</v>
      </c>
      <c r="E70" s="1" t="n">
        <v>46229</v>
      </c>
      <c r="F70" t="inlineStr">
        <is>
          <t>VÄSTMANLANDS LÄN</t>
        </is>
      </c>
      <c r="G70" t="inlineStr">
        <is>
          <t>FAGERSTA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63305-2025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46010</v>
      </c>
      <c r="E71" s="1" t="n">
        <v>46229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45789</v>
      </c>
      <c r="E72" s="1" t="n">
        <v>46229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45705</v>
      </c>
      <c r="E73" s="1" t="n">
        <v>46229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46229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11.5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56739-2021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44481</v>
      </c>
      <c r="E75" s="1" t="n">
        <v>46229</v>
      </c>
      <c r="F75" t="inlineStr">
        <is>
          <t>VÄSTMANLANDS LÄN</t>
        </is>
      </c>
      <c r="G75" t="inlineStr">
        <is>
          <t>FAGERSTA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13697-2025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45737</v>
      </c>
      <c r="E76" s="1" t="n">
        <v>46229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46229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10.1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23646-2026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46164</v>
      </c>
      <c r="E78" s="1" t="n">
        <v>46229</v>
      </c>
      <c r="F78" t="inlineStr">
        <is>
          <t>VÄSTMANLANDS LÄN</t>
        </is>
      </c>
      <c r="G78" t="inlineStr">
        <is>
          <t>FAGERSTA</t>
        </is>
      </c>
      <c r="I78" t="n">
        <v>6.8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19153-2025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45769</v>
      </c>
      <c r="E79" s="1" t="n">
        <v>46229</v>
      </c>
      <c r="F79" t="inlineStr">
        <is>
          <t>VÄSTMANLANDS LÄN</t>
        </is>
      </c>
      <c r="G79" t="inlineStr">
        <is>
          <t>FAGERSTA</t>
        </is>
      </c>
      <c r="I79" t="n">
        <v>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46229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46229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28249-2022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46229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46229</v>
      </c>
      <c r="F83" t="inlineStr">
        <is>
          <t>VÄSTMANLANDS LÄN</t>
        </is>
      </c>
      <c r="G83" t="inlineStr">
        <is>
          <t>FAGERSTA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60374-2025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45995</v>
      </c>
      <c r="E84" s="1" t="n">
        <v>46229</v>
      </c>
      <c r="F84" t="inlineStr">
        <is>
          <t>VÄSTMANLANDS LÄN</t>
        </is>
      </c>
      <c r="G84" t="inlineStr">
        <is>
          <t>FAGERSTA</t>
        </is>
      </c>
      <c r="H84" t="inlineStr">
        <is>
          <t>Kommuner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44953</v>
      </c>
      <c r="E85" s="1" t="n">
        <v>46229</v>
      </c>
      <c r="F85" t="inlineStr">
        <is>
          <t>VÄSTMANLANDS LÄN</t>
        </is>
      </c>
      <c r="G85" t="inlineStr">
        <is>
          <t>FAGERSTA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46077</v>
      </c>
      <c r="E86" s="1" t="n">
        <v>46229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19.5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46229</v>
      </c>
      <c r="F87" t="inlineStr">
        <is>
          <t>VÄSTMANLANDS LÄN</t>
        </is>
      </c>
      <c r="G87" t="inlineStr">
        <is>
          <t>FAGERSTA</t>
        </is>
      </c>
      <c r="H87" t="inlineStr">
        <is>
          <t>Bergvik skog väst AB</t>
        </is>
      </c>
      <c r="I87" t="n">
        <v>18.6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46077</v>
      </c>
      <c r="E88" s="1" t="n">
        <v>46229</v>
      </c>
      <c r="F88" t="inlineStr">
        <is>
          <t>VÄSTMANLANDS LÄN</t>
        </is>
      </c>
      <c r="G88" t="inlineStr">
        <is>
          <t>FAGERSTA</t>
        </is>
      </c>
      <c r="H88" t="inlineStr">
        <is>
          <t>Bergvik skog väst AB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18463-2025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46229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44998</v>
      </c>
      <c r="E90" s="1" t="n">
        <v>46229</v>
      </c>
      <c r="F90" t="inlineStr">
        <is>
          <t>VÄSTMANLANDS LÄN</t>
        </is>
      </c>
      <c r="G90" t="inlineStr">
        <is>
          <t>FAGERSTA</t>
        </is>
      </c>
      <c r="H90" t="inlineStr">
        <is>
          <t>Övriga Aktiebolag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31014-2026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46213</v>
      </c>
      <c r="E91" s="1" t="n">
        <v>46229</v>
      </c>
      <c r="F91" t="inlineStr">
        <is>
          <t>VÄSTMANLANDS LÄN</t>
        </is>
      </c>
      <c r="G91" t="inlineStr">
        <is>
          <t>FAGERSTA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13079-2026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46093</v>
      </c>
      <c r="E92" s="1" t="n">
        <v>46229</v>
      </c>
      <c r="F92" t="inlineStr">
        <is>
          <t>VÄSTMANLANDS LÄN</t>
        </is>
      </c>
      <c r="G92" t="inlineStr">
        <is>
          <t>FAGERSTA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37955-2023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45160</v>
      </c>
      <c r="E93" s="1" t="n">
        <v>46229</v>
      </c>
      <c r="F93" t="inlineStr">
        <is>
          <t>VÄSTMANLANDS LÄN</t>
        </is>
      </c>
      <c r="G93" t="inlineStr">
        <is>
          <t>FAGERSTA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45748</v>
      </c>
      <c r="E94" s="1" t="n">
        <v>46229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22484-2023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45071</v>
      </c>
      <c r="E95" s="1" t="n">
        <v>46229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17886-2026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46122</v>
      </c>
      <c r="E96" s="1" t="n">
        <v>46229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31482-2026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46223</v>
      </c>
      <c r="E97" s="1" t="n">
        <v>46229</v>
      </c>
      <c r="F97" t="inlineStr">
        <is>
          <t>VÄSTMANLANDS LÄN</t>
        </is>
      </c>
      <c r="G97" t="inlineStr">
        <is>
          <t>FAGERSTA</t>
        </is>
      </c>
      <c r="H97" t="inlineStr">
        <is>
          <t>Övriga Aktiebolag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17893-2026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46122</v>
      </c>
      <c r="E98" s="1" t="n">
        <v>46229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18782-2026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46128</v>
      </c>
      <c r="E99" s="1" t="n">
        <v>46229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46229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18781-2026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46128</v>
      </c>
      <c r="E101" s="1" t="n">
        <v>46229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8.699999999999999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18783-2026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46128</v>
      </c>
      <c r="E102" s="1" t="n">
        <v>46229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45627</v>
      </c>
      <c r="E103" s="1" t="n">
        <v>46229</v>
      </c>
      <c r="F103" t="inlineStr">
        <is>
          <t>VÄSTMANLANDS LÄN</t>
        </is>
      </c>
      <c r="G103" t="inlineStr">
        <is>
          <t>FAGERSTA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19707-2026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46134</v>
      </c>
      <c r="E104" s="1" t="n">
        <v>46229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45503</v>
      </c>
      <c r="E105" s="1" t="n">
        <v>46229</v>
      </c>
      <c r="F105" t="inlineStr">
        <is>
          <t>VÄSTMANLANDS LÄN</t>
        </is>
      </c>
      <c r="G105" t="inlineStr">
        <is>
          <t>FAGERSTA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19825-2026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46135</v>
      </c>
      <c r="E106" s="1" t="n">
        <v>46229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20909-2024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45439</v>
      </c>
      <c r="E107" s="1" t="n">
        <v>46229</v>
      </c>
      <c r="F107" t="inlineStr">
        <is>
          <t>VÄSTMANLANDS LÄN</t>
        </is>
      </c>
      <c r="G107" t="inlineStr">
        <is>
          <t>FAGERSTA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45193</v>
      </c>
      <c r="E108" s="1" t="n">
        <v>46229</v>
      </c>
      <c r="F108" t="inlineStr">
        <is>
          <t>VÄSTMANLANDS LÄN</t>
        </is>
      </c>
      <c r="G108" t="inlineStr">
        <is>
          <t>FAGERSTA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46229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45125</v>
      </c>
      <c r="E110" s="1" t="n">
        <v>46229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8264-2023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44974</v>
      </c>
      <c r="E111" s="1" t="n">
        <v>46229</v>
      </c>
      <c r="F111" t="inlineStr">
        <is>
          <t>VÄSTMANLANDS LÄN</t>
        </is>
      </c>
      <c r="G111" t="inlineStr">
        <is>
          <t>FAGERSTA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45632</v>
      </c>
      <c r="E112" s="1" t="n">
        <v>46229</v>
      </c>
      <c r="F112" t="inlineStr">
        <is>
          <t>VÄSTMANLANDS LÄN</t>
        </is>
      </c>
      <c r="G112" t="inlineStr">
        <is>
          <t>FAGERSTA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44998</v>
      </c>
      <c r="E113" s="1" t="n">
        <v>46229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6.9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30813-2022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44764</v>
      </c>
      <c r="E114" s="1" t="n">
        <v>46229</v>
      </c>
      <c r="F114" t="inlineStr">
        <is>
          <t>VÄSTMANLANDS LÄN</t>
        </is>
      </c>
      <c r="G114" t="inlineStr">
        <is>
          <t>FAGERSTA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46229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46229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45627</v>
      </c>
      <c r="E117" s="1" t="n">
        <v>46229</v>
      </c>
      <c r="F117" t="inlineStr">
        <is>
          <t>VÄSTMANLANDS LÄN</t>
        </is>
      </c>
      <c r="G117" t="inlineStr">
        <is>
          <t>FAGERSTA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58594-2024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46229</v>
      </c>
      <c r="F118" t="inlineStr">
        <is>
          <t>VÄSTMANLANDS LÄN</t>
        </is>
      </c>
      <c r="G118" t="inlineStr">
        <is>
          <t>FAGERSTA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39157-2024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46229</v>
      </c>
      <c r="F119" t="inlineStr">
        <is>
          <t>VÄSTMANLANDS LÄN</t>
        </is>
      </c>
      <c r="G119" t="inlineStr">
        <is>
          <t>FAGERSTA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46229</v>
      </c>
      <c r="F120" t="inlineStr">
        <is>
          <t>VÄSTMANLANDS LÄN</t>
        </is>
      </c>
      <c r="G120" t="inlineStr">
        <is>
          <t>FAGERSTA</t>
        </is>
      </c>
      <c r="H120" t="inlineStr">
        <is>
          <t>Bergvik skog väst AB</t>
        </is>
      </c>
      <c r="I120" t="n">
        <v>22.6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46229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32001-2025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46229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33236-2025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45840</v>
      </c>
      <c r="E123" s="1" t="n">
        <v>46229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33232-2025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45840</v>
      </c>
      <c r="E124" s="1" t="n">
        <v>46229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33238-2025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45840</v>
      </c>
      <c r="E125" s="1" t="n">
        <v>46229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34374-2025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45846</v>
      </c>
      <c r="E126" s="1" t="n">
        <v>46229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46229</v>
      </c>
      <c r="F127" t="inlineStr">
        <is>
          <t>VÄSTMANLANDS LÄN</t>
        </is>
      </c>
      <c r="G127" t="inlineStr">
        <is>
          <t>FAGERSTA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46229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46229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46229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46229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46229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46229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46229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2026-07-26T01:53:05Z</dcterms:created>
  <dcterms:modified xmlns:dcterms="http://purl.org/dc/terms/" xmlns:xsi="http://www.w3.org/2001/XMLSchema-instance" xsi:type="dcterms:W3CDTF">2026-07-26T01:53:06Z</dcterms:modified>
</cp:coreProperties>
</file>