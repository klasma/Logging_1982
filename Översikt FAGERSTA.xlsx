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46259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46259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46259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1683-2026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46034</v>
      </c>
      <c r="E14" s="1" t="n">
        <v>46259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29.2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Skogsalm
Talltita</t>
        </is>
      </c>
      <c r="W14">
        <f>HYPERLINK("https://klasma.github.io/Logging_1982/artfynd/A 1683-2026 artfynd.xlsx", "A 1683-2026")</f>
        <v/>
      </c>
      <c r="X14">
        <f>HYPERLINK("https://klasma.github.io/Logging_1982/kartor/A 1683-2026 karta.png", "A 1683-2026")</f>
        <v/>
      </c>
      <c r="Y14">
        <f>HYPERLINK("https://klasma.github.io/Logging_1982/kartor_geotiff/A 1683-2026 georefererad karta.tif", "A 1683-2026")</f>
        <v/>
      </c>
      <c r="AA14">
        <f>HYPERLINK("https://klasma.github.io/Logging_1982/klagomål/A 1683-2026 FSC-klagomål.docx", "A 1683-2026")</f>
        <v/>
      </c>
      <c r="AB14">
        <f>HYPERLINK("https://klasma.github.io/Logging_1982/klagomålsmail/A 1683-2026 FSC-klagomål mail.docx", "A 1683-2026")</f>
        <v/>
      </c>
      <c r="AC14">
        <f>HYPERLINK("https://klasma.github.io/Logging_1982/tillsyn/A 1683-2026 tillsynsbegäran.docx", "A 1683-2026")</f>
        <v/>
      </c>
      <c r="AD14">
        <f>HYPERLINK("https://klasma.github.io/Logging_1982/tillsynsmail/A 1683-2026 tillsynsbegäran mail.docx", "A 1683-2026")</f>
        <v/>
      </c>
      <c r="AE14">
        <f>HYPERLINK("https://klasma.github.io/Logging_1982/fåglar/A 1683-2026 prioriterade fågelarter.docx", "A 1683-2026")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46259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46259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46259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46259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46259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46259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46259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46259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46259</v>
      </c>
      <c r="F33" t="inlineStr">
        <is>
          <t>VÄSTMANLANDS LÄN</t>
        </is>
      </c>
      <c r="G33" t="inlineStr">
        <is>
          <t>FAGERSTA</t>
        </is>
      </c>
      <c r="H33" t="inlineStr">
        <is>
          <t>Bergvik skog väst AB</t>
        </is>
      </c>
      <c r="I33" t="n">
        <v>22.6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45071</v>
      </c>
      <c r="E34" s="1" t="n">
        <v>46259</v>
      </c>
      <c r="F34" t="inlineStr">
        <is>
          <t>VÄSTMANLANDS LÄN</t>
        </is>
      </c>
      <c r="G34" t="inlineStr">
        <is>
          <t>FAGERSTA</t>
        </is>
      </c>
      <c r="H34" t="inlineStr">
        <is>
          <t>Sveaskog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46259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46259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46259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46259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46259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33238-2025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45840</v>
      </c>
      <c r="E40" s="1" t="n">
        <v>46259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33232-2025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45840</v>
      </c>
      <c r="E41" s="1" t="n">
        <v>46259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22323-2024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46259</v>
      </c>
      <c r="F42" t="inlineStr">
        <is>
          <t>VÄSTMANLANDS LÄN</t>
        </is>
      </c>
      <c r="G42" t="inlineStr">
        <is>
          <t>FAGERSTA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33236-2025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45840</v>
      </c>
      <c r="E43" s="1" t="n">
        <v>46259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34374-2025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45846</v>
      </c>
      <c r="E44" s="1" t="n">
        <v>46259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45819</v>
      </c>
      <c r="E45" s="1" t="n">
        <v>46259</v>
      </c>
      <c r="F45" t="inlineStr">
        <is>
          <t>VÄSTMANLANDS LÄN</t>
        </is>
      </c>
      <c r="G45" t="inlineStr">
        <is>
          <t>FAGERSTA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20909-2024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45439</v>
      </c>
      <c r="E46" s="1" t="n">
        <v>46259</v>
      </c>
      <c r="F46" t="inlineStr">
        <is>
          <t>VÄSTMANLANDS LÄN</t>
        </is>
      </c>
      <c r="G46" t="inlineStr">
        <is>
          <t>FAGERSTA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46259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46259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48261-2022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46259</v>
      </c>
      <c r="F49" t="inlineStr">
        <is>
          <t>VÄSTMANLANDS LÄN</t>
        </is>
      </c>
      <c r="G49" t="inlineStr">
        <is>
          <t>FAGERSTA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44481</v>
      </c>
      <c r="E50" s="1" t="n">
        <v>46259</v>
      </c>
      <c r="F50" t="inlineStr">
        <is>
          <t>VÄSTMANLANDS LÄN</t>
        </is>
      </c>
      <c r="G50" t="inlineStr">
        <is>
          <t>FAGERSTA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42844-2024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46259</v>
      </c>
      <c r="F51" t="inlineStr">
        <is>
          <t>VÄSTMANLANDS LÄN</t>
        </is>
      </c>
      <c r="G51" t="inlineStr">
        <is>
          <t>FAGERSTA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45125</v>
      </c>
      <c r="E52" s="1" t="n">
        <v>46259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56694-2024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45627</v>
      </c>
      <c r="E53" s="1" t="n">
        <v>46259</v>
      </c>
      <c r="F53" t="inlineStr">
        <is>
          <t>VÄSTMANLANDS LÄN</t>
        </is>
      </c>
      <c r="G53" t="inlineStr">
        <is>
          <t>FAGERSTA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46259</v>
      </c>
      <c r="F54" t="inlineStr">
        <is>
          <t>VÄSTMANLANDS LÄN</t>
        </is>
      </c>
      <c r="G54" t="inlineStr">
        <is>
          <t>FAGERSTA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46259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45160</v>
      </c>
      <c r="E56" s="1" t="n">
        <v>46259</v>
      </c>
      <c r="F56" t="inlineStr">
        <is>
          <t>VÄSTMANLANDS LÄN</t>
        </is>
      </c>
      <c r="G56" t="inlineStr">
        <is>
          <t>FAGERSTA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46259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45769</v>
      </c>
      <c r="E58" s="1" t="n">
        <v>46259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46259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46259</v>
      </c>
      <c r="F60" t="inlineStr">
        <is>
          <t>VÄSTMANLANDS LÄN</t>
        </is>
      </c>
      <c r="G60" t="inlineStr">
        <is>
          <t>FAGERSTA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13697-2025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45737</v>
      </c>
      <c r="E61" s="1" t="n">
        <v>46259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46259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46259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46259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22482-2023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45071</v>
      </c>
      <c r="E65" s="1" t="n">
        <v>46259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22485-2023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45071</v>
      </c>
      <c r="E66" s="1" t="n">
        <v>46259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46122</v>
      </c>
      <c r="E67" s="1" t="n">
        <v>46259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46259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46259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19825-2026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46135</v>
      </c>
      <c r="E70" s="1" t="n">
        <v>46259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46259</v>
      </c>
      <c r="F71" t="inlineStr">
        <is>
          <t>VÄSTMANLANDS LÄN</t>
        </is>
      </c>
      <c r="G71" t="inlineStr">
        <is>
          <t>FAGERSTA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46259</v>
      </c>
      <c r="F72" t="inlineStr">
        <is>
          <t>VÄSTMANLANDS LÄN</t>
        </is>
      </c>
      <c r="G72" t="inlineStr">
        <is>
          <t>FAGERSTA</t>
        </is>
      </c>
      <c r="H72" t="inlineStr">
        <is>
          <t>Övriga Aktiebolag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46259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45193</v>
      </c>
      <c r="E74" s="1" t="n">
        <v>46259</v>
      </c>
      <c r="F74" t="inlineStr">
        <is>
          <t>VÄSTMANLANDS LÄN</t>
        </is>
      </c>
      <c r="G74" t="inlineStr">
        <is>
          <t>FAGERSTA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45503</v>
      </c>
      <c r="E75" s="1" t="n">
        <v>46259</v>
      </c>
      <c r="F75" t="inlineStr">
        <is>
          <t>VÄSTMANLANDS LÄN</t>
        </is>
      </c>
      <c r="G75" t="inlineStr">
        <is>
          <t>FAGERSTA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20583-2026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46140</v>
      </c>
      <c r="E76" s="1" t="n">
        <v>46259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45821</v>
      </c>
      <c r="E77" s="1" t="n">
        <v>46259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46094</v>
      </c>
      <c r="E78" s="1" t="n">
        <v>46259</v>
      </c>
      <c r="F78" t="inlineStr">
        <is>
          <t>VÄSTMANLANDS LÄN</t>
        </is>
      </c>
      <c r="G78" t="inlineStr">
        <is>
          <t>FAGERSTA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46259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45705</v>
      </c>
      <c r="E80" s="1" t="n">
        <v>46259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46259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46259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46259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46259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46259</v>
      </c>
      <c r="F85" t="inlineStr">
        <is>
          <t>VÄSTMANLANDS LÄN</t>
        </is>
      </c>
      <c r="G85" t="inlineStr">
        <is>
          <t>FAGERSTA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46259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46259</v>
      </c>
      <c r="F87" t="inlineStr">
        <is>
          <t>VÄSTMANLANDS LÄN</t>
        </is>
      </c>
      <c r="G87" t="inlineStr">
        <is>
          <t>FAGERSTA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46259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46259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46259</v>
      </c>
      <c r="F90" t="inlineStr">
        <is>
          <t>VÄSTMANLANDS LÄN</t>
        </is>
      </c>
      <c r="G90" t="inlineStr">
        <is>
          <t>FAGERSTA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41644-2025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45902</v>
      </c>
      <c r="E91" s="1" t="n">
        <v>46259</v>
      </c>
      <c r="F91" t="inlineStr">
        <is>
          <t>VÄSTMANLANDS LÄN</t>
        </is>
      </c>
      <c r="G91" t="inlineStr">
        <is>
          <t>FAGERSTA</t>
        </is>
      </c>
      <c r="H91" t="inlineStr">
        <is>
          <t>Kommuner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46259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46259</v>
      </c>
      <c r="F93" t="inlineStr">
        <is>
          <t>VÄSTMANLANDS LÄN</t>
        </is>
      </c>
      <c r="G93" t="inlineStr">
        <is>
          <t>FAGERSTA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46259</v>
      </c>
      <c r="F94" t="inlineStr">
        <is>
          <t>VÄSTMANLANDS LÄN</t>
        </is>
      </c>
      <c r="G94" t="inlineStr">
        <is>
          <t>FAGERSTA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46259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46223</v>
      </c>
      <c r="E96" s="1" t="n">
        <v>46259</v>
      </c>
      <c r="F96" t="inlineStr">
        <is>
          <t>VÄSTMANLANDS LÄN</t>
        </is>
      </c>
      <c r="G96" t="inlineStr">
        <is>
          <t>FAGERSTA</t>
        </is>
      </c>
      <c r="H96" t="inlineStr">
        <is>
          <t>Övriga Aktiebolag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45972</v>
      </c>
      <c r="E97" s="1" t="n">
        <v>46259</v>
      </c>
      <c r="F97" t="inlineStr">
        <is>
          <t>VÄSTMANLANDS LÄN</t>
        </is>
      </c>
      <c r="G97" t="inlineStr">
        <is>
          <t>FAGERSTA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45627</v>
      </c>
      <c r="E98" s="1" t="n">
        <v>46259</v>
      </c>
      <c r="F98" t="inlineStr">
        <is>
          <t>VÄSTMANLANDS LÄN</t>
        </is>
      </c>
      <c r="G98" t="inlineStr">
        <is>
          <t>FAGERSTA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46259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51586-2023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46259</v>
      </c>
      <c r="F100" t="inlineStr">
        <is>
          <t>VÄSTMANLANDS LÄN</t>
        </is>
      </c>
      <c r="G100" t="inlineStr">
        <is>
          <t>FAGERSTA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46259</v>
      </c>
      <c r="F101" t="inlineStr">
        <is>
          <t>VÄSTMANLANDS LÄN</t>
        </is>
      </c>
      <c r="G101" t="inlineStr">
        <is>
          <t>FAGERSTA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63305-2025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46010</v>
      </c>
      <c r="E102" s="1" t="n">
        <v>46259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46259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46259</v>
      </c>
      <c r="F104" t="inlineStr">
        <is>
          <t>VÄSTMANLANDS LÄN</t>
        </is>
      </c>
      <c r="G104" t="inlineStr">
        <is>
          <t>FAGERSTA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46259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46246</v>
      </c>
      <c r="E106" s="1" t="n">
        <v>46259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46259</v>
      </c>
      <c r="F107" t="inlineStr">
        <is>
          <t>VÄSTMANLANDS LÄN</t>
        </is>
      </c>
      <c r="G107" t="inlineStr">
        <is>
          <t>FAGERSTA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46259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14.6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46259</v>
      </c>
      <c r="F109" t="inlineStr">
        <is>
          <t>VÄSTMANLANDS LÄN</t>
        </is>
      </c>
      <c r="G109" t="inlineStr">
        <is>
          <t>FAGERSTA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46259</v>
      </c>
      <c r="F110" t="inlineStr">
        <is>
          <t>VÄSTMANLANDS LÄN</t>
        </is>
      </c>
      <c r="G110" t="inlineStr">
        <is>
          <t>FAGERSTA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44764</v>
      </c>
      <c r="E111" s="1" t="n">
        <v>46259</v>
      </c>
      <c r="F111" t="inlineStr">
        <is>
          <t>VÄSTMANLANDS LÄN</t>
        </is>
      </c>
      <c r="G111" t="inlineStr">
        <is>
          <t>FAGERSTA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44998</v>
      </c>
      <c r="E112" s="1" t="n">
        <v>46259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46259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46259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34766-2026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46258</v>
      </c>
      <c r="E115" s="1" t="n">
        <v>46259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46213</v>
      </c>
      <c r="E116" s="1" t="n">
        <v>46259</v>
      </c>
      <c r="F116" t="inlineStr">
        <is>
          <t>VÄSTMANLANDS LÄN</t>
        </is>
      </c>
      <c r="G116" t="inlineStr">
        <is>
          <t>FAGERSTA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46259</v>
      </c>
      <c r="F117" t="inlineStr">
        <is>
          <t>VÄSTMANLANDS LÄN</t>
        </is>
      </c>
      <c r="G117" t="inlineStr">
        <is>
          <t>FAGERSTA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46259</v>
      </c>
      <c r="F118" t="inlineStr">
        <is>
          <t>VÄSTMANLANDS LÄN</t>
        </is>
      </c>
      <c r="G118" t="inlineStr">
        <is>
          <t>FAGERSTA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46259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44781</v>
      </c>
      <c r="E121" s="1" t="n">
        <v>46259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Kommuner</t>
        </is>
      </c>
      <c r="I121" t="n">
        <v>22.9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46259</v>
      </c>
      <c r="F122" t="inlineStr">
        <is>
          <t>VÄSTMANLANDS LÄN</t>
        </is>
      </c>
      <c r="G122" t="inlineStr">
        <is>
          <t>FAGERSTA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45995</v>
      </c>
      <c r="E123" s="1" t="n">
        <v>46259</v>
      </c>
      <c r="F123" t="inlineStr">
        <is>
          <t>VÄSTMANLANDS LÄN</t>
        </is>
      </c>
      <c r="G123" t="inlineStr">
        <is>
          <t>FAGERSTA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46259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Bergvik skog väst AB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46077</v>
      </c>
      <c r="E125" s="1" t="n">
        <v>46259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Bergvik skog väst AB</t>
        </is>
      </c>
      <c r="I125" t="n">
        <v>19.5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46259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Bergvik skog väst AB</t>
        </is>
      </c>
      <c r="I126" t="n">
        <v>18.6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46259</v>
      </c>
      <c r="F127" t="inlineStr">
        <is>
          <t>VÄSTMANLANDS LÄN</t>
        </is>
      </c>
      <c r="G127" t="inlineStr">
        <is>
          <t>FAGERSTA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46259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46259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46259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46259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46259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46259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2026-08-25T01:52:34Z</dcterms:created>
  <dcterms:modified xmlns:dcterms="http://purl.org/dc/terms/" xmlns:xsi="http://www.w3.org/2001/XMLSchema-instance" xsi:type="dcterms:W3CDTF">2026-08-25T01:52:34Z</dcterms:modified>
</cp:coreProperties>
</file>