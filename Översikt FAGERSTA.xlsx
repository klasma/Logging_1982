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45754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45754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45754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45754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45754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45754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45754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45754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HYPERLINK("https://klasma.github.io/Logging_191982/artfynd/A 12909-2025 artfynd.xlsx", "A 12909-2025")</f>
        <v/>
      </c>
      <c r="T9">
        <f>HYPERLINK("https://klasma.github.io/Logging_191982/kartor/A 12909-2025 karta.png", "A 12909-2025")</f>
        <v/>
      </c>
      <c r="V9">
        <f>HYPERLINK("https://klasma.github.io/Logging_191982/klagomål/A 12909-2025 FSC-klagomål.docx", "A 12909-2025")</f>
        <v/>
      </c>
      <c r="W9">
        <f>HYPERLINK("https://klasma.github.io/Logging_191982/klagomålsmail/A 12909-2025 FSC-klagomål mail.docx", "A 12909-2025")</f>
        <v/>
      </c>
      <c r="X9">
        <f>HYPERLINK("https://klasma.github.io/Logging_191982/tillsyn/A 12909-2025 tillsynsbegäran.docx", "A 12909-2025")</f>
        <v/>
      </c>
      <c r="Y9">
        <f>HYPERLINK("https://klasma.github.io/Logging_191982/tillsynsmail/A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45754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45754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45754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45754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45754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45754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45754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45754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45754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45754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45754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HYPERLINK("https://klasma.github.io/Logging_191982/artfynd/A 9803-2025 artfynd.xlsx", "A 9803-2025")</f>
        <v/>
      </c>
      <c r="T20">
        <f>HYPERLINK("https://klasma.github.io/Logging_191982/kartor/A 9803-2025 karta.png", "A 9803-2025")</f>
        <v/>
      </c>
      <c r="V20">
        <f>HYPERLINK("https://klasma.github.io/Logging_191982/klagomål/A 9803-2025 FSC-klagomål.docx", "A 9803-2025")</f>
        <v/>
      </c>
      <c r="W20">
        <f>HYPERLINK("https://klasma.github.io/Logging_191982/klagomålsmail/A 9803-2025 FSC-klagomål mail.docx", "A 9803-2025")</f>
        <v/>
      </c>
      <c r="X20">
        <f>HYPERLINK("https://klasma.github.io/Logging_191982/tillsyn/A 9803-2025 tillsynsbegäran.docx", "A 9803-2025")</f>
        <v/>
      </c>
      <c r="Y20">
        <f>HYPERLINK("https://klasma.github.io/Logging_191982/tillsynsmail/A 9803-2025 tillsynsbegäran mail.docx", "A 9803-2025")</f>
        <v/>
      </c>
      <c r="Z20">
        <f>HYPERLINK("https://klasma.github.io/Logging_191982/fåglar/A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45754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HYPERLINK("https://klasma.github.io/Logging_191982/artfynd/A 10373-2025 artfynd.xlsx", "A 10373-2025")</f>
        <v/>
      </c>
      <c r="T21">
        <f>HYPERLINK("https://klasma.github.io/Logging_191982/kartor/A 10373-2025 karta.png", "A 10373-2025")</f>
        <v/>
      </c>
      <c r="V21">
        <f>HYPERLINK("https://klasma.github.io/Logging_191982/klagomål/A 10373-2025 FSC-klagomål.docx", "A 10373-2025")</f>
        <v/>
      </c>
      <c r="W21">
        <f>HYPERLINK("https://klasma.github.io/Logging_191982/klagomålsmail/A 10373-2025 FSC-klagomål mail.docx", "A 10373-2025")</f>
        <v/>
      </c>
      <c r="X21">
        <f>HYPERLINK("https://klasma.github.io/Logging_191982/tillsyn/A 10373-2025 tillsynsbegäran.docx", "A 10373-2025")</f>
        <v/>
      </c>
      <c r="Y21">
        <f>HYPERLINK("https://klasma.github.io/Logging_191982/tillsynsmail/A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45754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45754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45754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45754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45754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45754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45754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45754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45754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45754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45754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45754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45754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45754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45754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45754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45754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45754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45754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45754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45754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45754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45754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45754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45754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45754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45754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45754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45754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45754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45754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45754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45754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45754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45754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45754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45754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45754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45754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45754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45754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45754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45754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45754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45754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45754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45754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45754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45754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45754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45754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45754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45754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45754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45754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45754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45754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45754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45754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45754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45754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45754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45754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45754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45754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45754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45754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45754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45754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45754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45754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45754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45754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45754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45754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45754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45754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45754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45754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45754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45754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45754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45754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45754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45754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45754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45754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45754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45754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45754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45754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45754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45754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45754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45754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45754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45754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45754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45754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45754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45754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45754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45754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45754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45754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45754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45754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45754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45754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45754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45754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45754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45754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45754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45754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45754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45754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45754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45754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45754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45754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45754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45754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45754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45754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45754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45754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45754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45754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45754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45754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45754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45754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45754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45754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45754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45754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45754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45754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45754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45754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45754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45754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45754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45754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45754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45754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45754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45754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45754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45754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45754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45754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45754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45754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45754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45754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45754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45754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45754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45754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45754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45754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45754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45754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45754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45754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45754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45754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45754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45754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45754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45754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45754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45754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45754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45754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45754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45754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45754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45754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45754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45754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45754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45754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45754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45754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45754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45754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45754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45754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45754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45754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45754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45754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45754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45754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45754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45754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45754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45754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45754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45754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45754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45754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45754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45754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45754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45754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45754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45754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13904-2025</t>
        </is>
      </c>
      <c r="B233" s="1" t="n">
        <v>45737</v>
      </c>
      <c r="C233" s="1" t="n">
        <v>45754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13697-2025</t>
        </is>
      </c>
      <c r="B234" s="1" t="n">
        <v>45737</v>
      </c>
      <c r="C234" s="1" t="n">
        <v>45754</v>
      </c>
      <c r="D234" t="inlineStr">
        <is>
          <t>VÄSTMANLANDS LÄN</t>
        </is>
      </c>
      <c r="E234" t="inlineStr">
        <is>
          <t>FAGERSTA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14782-2025</t>
        </is>
      </c>
      <c r="B235" s="1" t="n">
        <v>45742</v>
      </c>
      <c r="C235" s="1" t="n">
        <v>45754</v>
      </c>
      <c r="D235" t="inlineStr">
        <is>
          <t>VÄSTMANLANDS LÄN</t>
        </is>
      </c>
      <c r="E235" t="inlineStr">
        <is>
          <t>FAGERSTA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14590-2025</t>
        </is>
      </c>
      <c r="B236" s="1" t="n">
        <v>45742</v>
      </c>
      <c r="C236" s="1" t="n">
        <v>45754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15812-2025</t>
        </is>
      </c>
      <c r="B237" s="1" t="n">
        <v>45748</v>
      </c>
      <c r="C237" s="1" t="n">
        <v>45754</v>
      </c>
      <c r="D237" t="inlineStr">
        <is>
          <t>VÄSTMANLANDS LÄN</t>
        </is>
      </c>
      <c r="E237" t="inlineStr">
        <is>
          <t>FAGERSTA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16544-2025</t>
        </is>
      </c>
      <c r="B238" s="1" t="n">
        <v>45751</v>
      </c>
      <c r="C238" s="1" t="n">
        <v>45754</v>
      </c>
      <c r="D238" t="inlineStr">
        <is>
          <t>VÄSTMANLANDS LÄN</t>
        </is>
      </c>
      <c r="E238" t="inlineStr">
        <is>
          <t>FAGERSTA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16545-2025</t>
        </is>
      </c>
      <c r="B239" s="1" t="n">
        <v>45751</v>
      </c>
      <c r="C239" s="1" t="n">
        <v>45754</v>
      </c>
      <c r="D239" t="inlineStr">
        <is>
          <t>VÄSTMANLANDS LÄN</t>
        </is>
      </c>
      <c r="E239" t="inlineStr">
        <is>
          <t>FAGERSTA</t>
        </is>
      </c>
      <c r="F239" t="inlineStr">
        <is>
          <t>Sveaskog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16546-2025</t>
        </is>
      </c>
      <c r="B240" s="1" t="n">
        <v>45751</v>
      </c>
      <c r="C240" s="1" t="n">
        <v>45754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16547-2025</t>
        </is>
      </c>
      <c r="B241" s="1" t="n">
        <v>45751</v>
      </c>
      <c r="C241" s="1" t="n">
        <v>45754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2025-04-07T16:38:28Z</dcterms:created>
  <dcterms:modified xmlns:dcterms="http://purl.org/dc/terms/" xmlns:xsi="http://www.w3.org/2001/XMLSchema-instance" xsi:type="dcterms:W3CDTF">2025-04-07T16:38:28Z</dcterms:modified>
</cp:coreProperties>
</file>