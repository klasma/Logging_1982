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46203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46203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46203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46203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46203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46203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46203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1683-2026</t>
        </is>
      </c>
      <c r="B9" s="1" t="n">
        <v>46034</v>
      </c>
      <c r="C9" s="1" t="n">
        <v>46203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29.2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Talltita</t>
        </is>
      </c>
      <c r="S9">
        <f>HYPERLINK("https://klasma.github.io/Logging_1982/artfynd/A 1683-2026 artfynd.xlsx", "A 1683-2026")</f>
        <v/>
      </c>
      <c r="T9">
        <f>HYPERLINK("https://klasma.github.io/Logging_1982/kartor/A 1683-2026 karta.png", "A 1683-2026")</f>
        <v/>
      </c>
      <c r="V9">
        <f>HYPERLINK("https://klasma.github.io/Logging_1982/klagomål/A 1683-2026 FSC-klagomål.docx", "A 1683-2026")</f>
        <v/>
      </c>
      <c r="W9">
        <f>HYPERLINK("https://klasma.github.io/Logging_1982/klagomålsmail/A 1683-2026 FSC-klagomål mail.docx", "A 1683-2026")</f>
        <v/>
      </c>
      <c r="X9">
        <f>HYPERLINK("https://klasma.github.io/Logging_1982/tillsyn/A 1683-2026 tillsynsbegäran.docx", "A 1683-2026")</f>
        <v/>
      </c>
      <c r="Y9">
        <f>HYPERLINK("https://klasma.github.io/Logging_1982/tillsynsmail/A 1683-2026 tillsynsbegäran mail.docx", "A 1683-2026")</f>
        <v/>
      </c>
      <c r="Z9">
        <f>HYPERLINK("https://klasma.github.io/Logging_1982/fåglar/A 1683-2026 prioriterade fågelarter.docx", "A 1683-2026")</f>
        <v/>
      </c>
    </row>
    <row r="10" ht="15" customHeight="1">
      <c r="A10" t="inlineStr">
        <is>
          <t>A 17889-2026</t>
        </is>
      </c>
      <c r="B10" s="1" t="n">
        <v>46122</v>
      </c>
      <c r="C10" s="1" t="n">
        <v>46203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Garnlav
Tallticka</t>
        </is>
      </c>
      <c r="S10">
        <f>HYPERLINK("https://klasma.github.io/Logging_1982/artfynd/A 17889-2026 artfynd.xlsx", "A 17889-2026")</f>
        <v/>
      </c>
      <c r="T10">
        <f>HYPERLINK("https://klasma.github.io/Logging_1982/kartor/A 17889-2026 karta.png", "A 17889-2026")</f>
        <v/>
      </c>
      <c r="V10">
        <f>HYPERLINK("https://klasma.github.io/Logging_1982/klagomål/A 17889-2026 FSC-klagomål.docx", "A 17889-2026")</f>
        <v/>
      </c>
      <c r="W10">
        <f>HYPERLINK("https://klasma.github.io/Logging_1982/klagomålsmail/A 17889-2026 FSC-klagomål mail.docx", "A 17889-2026")</f>
        <v/>
      </c>
      <c r="X10">
        <f>HYPERLINK("https://klasma.github.io/Logging_1982/tillsyn/A 17889-2026 tillsynsbegäran.docx", "A 17889-2026")</f>
        <v/>
      </c>
      <c r="Y10">
        <f>HYPERLINK("https://klasma.github.io/Logging_1982/tillsynsmail/A 17889-2026 tillsynsbegäran mail.docx", "A 17889-2026")</f>
        <v/>
      </c>
    </row>
    <row r="11" ht="15" customHeight="1">
      <c r="A11" t="inlineStr">
        <is>
          <t>A 7385-2023</t>
        </is>
      </c>
      <c r="B11" s="1" t="n">
        <v>44971</v>
      </c>
      <c r="C11" s="1" t="n">
        <v>46203</v>
      </c>
      <c r="D11" t="inlineStr">
        <is>
          <t>VÄSTMANLANDS LÄN</t>
        </is>
      </c>
      <c r="E11" t="inlineStr">
        <is>
          <t>FAGERSTA</t>
        </is>
      </c>
      <c r="G11" t="n">
        <v>3.5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Bolmört
Tibast</t>
        </is>
      </c>
      <c r="S11">
        <f>HYPERLINK("https://klasma.github.io/Logging_1982/artfynd/A 7385-2023 artfynd.xlsx", "A 7385-2023")</f>
        <v/>
      </c>
      <c r="T11">
        <f>HYPERLINK("https://klasma.github.io/Logging_1982/kartor/A 7385-2023 karta.png", "A 7385-2023")</f>
        <v/>
      </c>
      <c r="V11">
        <f>HYPERLINK("https://klasma.github.io/Logging_1982/klagomål/A 7385-2023 FSC-klagomål.docx", "A 7385-2023")</f>
        <v/>
      </c>
      <c r="W11">
        <f>HYPERLINK("https://klasma.github.io/Logging_1982/klagomålsmail/A 7385-2023 FSC-klagomål mail.docx", "A 7385-2023")</f>
        <v/>
      </c>
      <c r="X11">
        <f>HYPERLINK("https://klasma.github.io/Logging_1982/tillsyn/A 7385-2023 tillsynsbegäran.docx", "A 7385-2023")</f>
        <v/>
      </c>
      <c r="Y11">
        <f>HYPERLINK("https://klasma.github.io/Logging_1982/tillsynsmail/A 7385-2023 tillsynsbegäran mail.docx", "A 7385-2023")</f>
        <v/>
      </c>
    </row>
    <row r="12" ht="15" customHeight="1">
      <c r="A12" t="inlineStr">
        <is>
          <t>A 9956-2022</t>
        </is>
      </c>
      <c r="B12" s="1" t="n">
        <v>44621</v>
      </c>
      <c r="C12" s="1" t="n">
        <v>46203</v>
      </c>
      <c r="D12" t="inlineStr">
        <is>
          <t>VÄSTMANLANDS LÄN</t>
        </is>
      </c>
      <c r="E12" t="inlineStr">
        <is>
          <t>FAGERSTA</t>
        </is>
      </c>
      <c r="F12" t="inlineStr">
        <is>
          <t>Kommuner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Ögonpyrola
Fläcknycklar</t>
        </is>
      </c>
      <c r="S12">
        <f>HYPERLINK("https://klasma.github.io/Logging_1982/artfynd/A 9956-2022 artfynd.xlsx", "A 9956-2022")</f>
        <v/>
      </c>
      <c r="T12">
        <f>HYPERLINK("https://klasma.github.io/Logging_1982/kartor/A 9956-2022 karta.png", "A 9956-2022")</f>
        <v/>
      </c>
      <c r="V12">
        <f>HYPERLINK("https://klasma.github.io/Logging_1982/klagomål/A 9956-2022 FSC-klagomål.docx", "A 9956-2022")</f>
        <v/>
      </c>
      <c r="W12">
        <f>HYPERLINK("https://klasma.github.io/Logging_1982/klagomålsmail/A 9956-2022 FSC-klagomål mail.docx", "A 9956-2022")</f>
        <v/>
      </c>
      <c r="X12">
        <f>HYPERLINK("https://klasma.github.io/Logging_1982/tillsyn/A 9956-2022 tillsynsbegäran.docx", "A 9956-2022")</f>
        <v/>
      </c>
      <c r="Y12">
        <f>HYPERLINK("https://klasma.github.io/Logging_1982/tillsynsmail/A 9956-2022 tillsynsbegäran mail.docx", "A 9956-2022")</f>
        <v/>
      </c>
    </row>
    <row r="13" ht="15" customHeight="1">
      <c r="A13" t="inlineStr">
        <is>
          <t>A 38128-2021</t>
        </is>
      </c>
      <c r="B13" s="1" t="n">
        <v>44405</v>
      </c>
      <c r="C13" s="1" t="n">
        <v>46203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38128-2021 artfynd.xlsx", "A 38128-2021")</f>
        <v/>
      </c>
      <c r="T13">
        <f>HYPERLINK("https://klasma.github.io/Logging_1982/kartor/A 38128-2021 karta.png", "A 38128-2021")</f>
        <v/>
      </c>
      <c r="U13">
        <f>HYPERLINK("https://klasma.github.io/Logging_1982/knärot/A 38128-2021 karta knärot.png", "A 38128-2021")</f>
        <v/>
      </c>
      <c r="V13">
        <f>HYPERLINK("https://klasma.github.io/Logging_1982/klagomål/A 38128-2021 FSC-klagomål.docx", "A 38128-2021")</f>
        <v/>
      </c>
      <c r="W13">
        <f>HYPERLINK("https://klasma.github.io/Logging_1982/klagomålsmail/A 38128-2021 FSC-klagomål mail.docx", "A 38128-2021")</f>
        <v/>
      </c>
      <c r="X13">
        <f>HYPERLINK("https://klasma.github.io/Logging_1982/tillsyn/A 38128-2021 tillsynsbegäran.docx", "A 38128-2021")</f>
        <v/>
      </c>
      <c r="Y13">
        <f>HYPERLINK("https://klasma.github.io/Logging_1982/tillsynsmail/A 38128-2021 tillsynsbegäran mail.docx", "A 38128-2021")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46203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50226-2025</t>
        </is>
      </c>
      <c r="B15" s="1" t="n">
        <v>45943</v>
      </c>
      <c r="C15" s="1" t="n">
        <v>46203</v>
      </c>
      <c r="D15" t="inlineStr">
        <is>
          <t>VÄSTMANLANDS LÄN</t>
        </is>
      </c>
      <c r="E15" t="inlineStr">
        <is>
          <t>FAGERSTA</t>
        </is>
      </c>
      <c r="F15" t="inlineStr">
        <is>
          <t>Kommuner</t>
        </is>
      </c>
      <c r="G15" t="n">
        <v>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HYPERLINK("https://klasma.github.io/Logging_1982/artfynd/A 50226-2025 artfynd.xlsx", "A 50226-2025")</f>
        <v/>
      </c>
      <c r="T15">
        <f>HYPERLINK("https://klasma.github.io/Logging_1982/kartor/A 50226-2025 karta.png", "A 50226-2025")</f>
        <v/>
      </c>
      <c r="V15">
        <f>HYPERLINK("https://klasma.github.io/Logging_1982/klagomål/A 50226-2025 FSC-klagomål.docx", "A 50226-2025")</f>
        <v/>
      </c>
      <c r="W15">
        <f>HYPERLINK("https://klasma.github.io/Logging_1982/klagomålsmail/A 50226-2025 FSC-klagomål mail.docx", "A 50226-2025")</f>
        <v/>
      </c>
      <c r="X15">
        <f>HYPERLINK("https://klasma.github.io/Logging_1982/tillsyn/A 50226-2025 tillsynsbegäran.docx", "A 50226-2025")</f>
        <v/>
      </c>
      <c r="Y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46203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46203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s="1" t="n">
        <v>46042</v>
      </c>
      <c r="C18" s="1" t="n">
        <v>46203</v>
      </c>
      <c r="D18" t="inlineStr">
        <is>
          <t>VÄSTMANLANDS LÄN</t>
        </is>
      </c>
      <c r="E18" t="inlineStr">
        <is>
          <t>FAGERSTA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Rödlånke</t>
        </is>
      </c>
      <c r="S18">
        <f>HYPERLINK("https://klasma.github.io/Logging_1982/artfynd/A 3553-2026 artfynd.xlsx", "A 3553-2026")</f>
        <v/>
      </c>
      <c r="T18">
        <f>HYPERLINK("https://klasma.github.io/Logging_1982/kartor/A 3553-2026 karta.png", "A 3553-2026")</f>
        <v/>
      </c>
      <c r="V18">
        <f>HYPERLINK("https://klasma.github.io/Logging_1982/klagomål/A 3553-2026 FSC-klagomål.docx", "A 3553-2026")</f>
        <v/>
      </c>
      <c r="W18">
        <f>HYPERLINK("https://klasma.github.io/Logging_1982/klagomålsmail/A 3553-2026 FSC-klagomål mail.docx", "A 3553-2026")</f>
        <v/>
      </c>
      <c r="X18">
        <f>HYPERLINK("https://klasma.github.io/Logging_1982/tillsyn/A 3553-2026 tillsynsbegäran.docx", "A 3553-2026")</f>
        <v/>
      </c>
      <c r="Y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s="1" t="n">
        <v>45770</v>
      </c>
      <c r="C19" s="1" t="n">
        <v>46203</v>
      </c>
      <c r="D19" t="inlineStr">
        <is>
          <t>VÄSTMANLANDS LÄN</t>
        </is>
      </c>
      <c r="E19" t="inlineStr">
        <is>
          <t>FAGERSTA</t>
        </is>
      </c>
      <c r="G19" t="n">
        <v>16.4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HYPERLINK("https://klasma.github.io/Logging_1982/artfynd/A 19550-2025 artfynd.xlsx", "A 19550-2025")</f>
        <v/>
      </c>
      <c r="T19">
        <f>HYPERLINK("https://klasma.github.io/Logging_1982/kartor/A 19550-2025 karta.png", "A 19550-2025")</f>
        <v/>
      </c>
      <c r="V19">
        <f>HYPERLINK("https://klasma.github.io/Logging_1982/klagomål/A 19550-2025 FSC-klagomål.docx", "A 19550-2025")</f>
        <v/>
      </c>
      <c r="W19">
        <f>HYPERLINK("https://klasma.github.io/Logging_1982/klagomålsmail/A 19550-2025 FSC-klagomål mail.docx", "A 19550-2025")</f>
        <v/>
      </c>
      <c r="X19">
        <f>HYPERLINK("https://klasma.github.io/Logging_1982/tillsyn/A 19550-2025 tillsynsbegäran.docx", "A 19550-2025")</f>
        <v/>
      </c>
      <c r="Y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s="1" t="n">
        <v>44533</v>
      </c>
      <c r="C20" s="1" t="n">
        <v>46203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46203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46203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46203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</v>
      </c>
      <c r="C24" s="1" t="n">
        <v>46203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46203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46203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46203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46203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</v>
      </c>
      <c r="C29" s="1" t="n">
        <v>46203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46203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46203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46203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44710-2022</t>
        </is>
      </c>
      <c r="B33" s="1" t="n">
        <v>44840</v>
      </c>
      <c r="C33" s="1" t="n">
        <v>46203</v>
      </c>
      <c r="D33" t="inlineStr">
        <is>
          <t>VÄSTMANLANDS LÄN</t>
        </is>
      </c>
      <c r="E33" t="inlineStr">
        <is>
          <t>FAGERSTA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46203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46203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</v>
      </c>
      <c r="C36" s="1" t="n">
        <v>46203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46203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46203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19153-2025</t>
        </is>
      </c>
      <c r="B39" s="1" t="n">
        <v>45769</v>
      </c>
      <c r="C39" s="1" t="n">
        <v>46203</v>
      </c>
      <c r="D39" t="inlineStr">
        <is>
          <t>VÄSTMANLANDS LÄN</t>
        </is>
      </c>
      <c r="E39" t="inlineStr">
        <is>
          <t>FAGERSTA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58310-2024</t>
        </is>
      </c>
      <c r="B40" s="1" t="n">
        <v>45632</v>
      </c>
      <c r="C40" s="1" t="n">
        <v>46203</v>
      </c>
      <c r="D40" t="inlineStr">
        <is>
          <t>VÄSTMANLANDS LÄN</t>
        </is>
      </c>
      <c r="E40" t="inlineStr">
        <is>
          <t>FAGERSTA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30813-2022</t>
        </is>
      </c>
      <c r="B41" s="1" t="n">
        <v>44764</v>
      </c>
      <c r="C41" s="1" t="n">
        <v>46203</v>
      </c>
      <c r="D41" t="inlineStr">
        <is>
          <t>VÄSTMANLANDS LÄN</t>
        </is>
      </c>
      <c r="E41" t="inlineStr">
        <is>
          <t>FAGERSTA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12121-2023</t>
        </is>
      </c>
      <c r="B42" s="1" t="n">
        <v>44998</v>
      </c>
      <c r="C42" s="1" t="n">
        <v>46203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22118-2025</t>
        </is>
      </c>
      <c r="B43" s="1" t="n">
        <v>45785</v>
      </c>
      <c r="C43" s="1" t="n">
        <v>46203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22117-2025</t>
        </is>
      </c>
      <c r="B44" s="1" t="n">
        <v>45785</v>
      </c>
      <c r="C44" s="1" t="n">
        <v>46203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56704-2024</t>
        </is>
      </c>
      <c r="B45" s="1" t="n">
        <v>45627</v>
      </c>
      <c r="C45" s="1" t="n">
        <v>46203</v>
      </c>
      <c r="D45" t="inlineStr">
        <is>
          <t>VÄSTMANLANDS LÄN</t>
        </is>
      </c>
      <c r="E45" t="inlineStr">
        <is>
          <t>FAGERSTA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58594-2024</t>
        </is>
      </c>
      <c r="B46" s="1" t="n">
        <v>45635</v>
      </c>
      <c r="C46" s="1" t="n">
        <v>46203</v>
      </c>
      <c r="D46" t="inlineStr">
        <is>
          <t>VÄSTMANLANDS LÄN</t>
        </is>
      </c>
      <c r="E46" t="inlineStr">
        <is>
          <t>FAGERSTA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39157-2024</t>
        </is>
      </c>
      <c r="B47" s="1" t="n">
        <v>45548</v>
      </c>
      <c r="C47" s="1" t="n">
        <v>46203</v>
      </c>
      <c r="D47" t="inlineStr">
        <is>
          <t>VÄSTMANLANDS LÄN</t>
        </is>
      </c>
      <c r="E47" t="inlineStr">
        <is>
          <t>FAGERSTA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46203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55794-2025</t>
        </is>
      </c>
      <c r="B49" s="1" t="n">
        <v>45972</v>
      </c>
      <c r="C49" s="1" t="n">
        <v>46203</v>
      </c>
      <c r="D49" t="inlineStr">
        <is>
          <t>VÄSTMANLANDS LÄN</t>
        </is>
      </c>
      <c r="E49" t="inlineStr">
        <is>
          <t>FAGERSTA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26652-2025</t>
        </is>
      </c>
      <c r="B50" s="1" t="n">
        <v>45810</v>
      </c>
      <c r="C50" s="1" t="n">
        <v>46203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57405-2025</t>
        </is>
      </c>
      <c r="B51" s="1" t="n">
        <v>45980</v>
      </c>
      <c r="C51" s="1" t="n">
        <v>46203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46359-2025</t>
        </is>
      </c>
      <c r="B52" s="1" t="n">
        <v>45925</v>
      </c>
      <c r="C52" s="1" t="n">
        <v>46203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29075-2025</t>
        </is>
      </c>
      <c r="B53" s="1" t="n">
        <v>45821</v>
      </c>
      <c r="C53" s="1" t="n">
        <v>46203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32004-2025</t>
        </is>
      </c>
      <c r="B54" s="1" t="n">
        <v>45835</v>
      </c>
      <c r="C54" s="1" t="n">
        <v>46203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57855-2023</t>
        </is>
      </c>
      <c r="B55" s="1" t="n">
        <v>45247</v>
      </c>
      <c r="C55" s="1" t="n">
        <v>46203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32001-2025</t>
        </is>
      </c>
      <c r="B56" s="1" t="n">
        <v>45835</v>
      </c>
      <c r="C56" s="1" t="n">
        <v>46203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33238-2025</t>
        </is>
      </c>
      <c r="B57" s="1" t="n">
        <v>45840</v>
      </c>
      <c r="C57" s="1" t="n">
        <v>46203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33232-2025</t>
        </is>
      </c>
      <c r="B58" s="1" t="n">
        <v>45840</v>
      </c>
      <c r="C58" s="1" t="n">
        <v>46203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33236-2025</t>
        </is>
      </c>
      <c r="B59" s="1" t="n">
        <v>45840</v>
      </c>
      <c r="C59" s="1" t="n">
        <v>46203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34374-2025</t>
        </is>
      </c>
      <c r="B60" s="1" t="n">
        <v>45846</v>
      </c>
      <c r="C60" s="1" t="n">
        <v>46203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63305-2025</t>
        </is>
      </c>
      <c r="B61" s="1" t="n">
        <v>46010</v>
      </c>
      <c r="C61" s="1" t="n">
        <v>46203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62095-2022</t>
        </is>
      </c>
      <c r="B62" s="1" t="n">
        <v>44919</v>
      </c>
      <c r="C62" s="1" t="n">
        <v>46203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28425-2025</t>
        </is>
      </c>
      <c r="B63" s="1" t="n">
        <v>45819</v>
      </c>
      <c r="C63" s="1" t="n">
        <v>46203</v>
      </c>
      <c r="D63" t="inlineStr">
        <is>
          <t>VÄSTMANLANDS LÄN</t>
        </is>
      </c>
      <c r="E63" t="inlineStr">
        <is>
          <t>FAGERSTA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48261-2022</t>
        </is>
      </c>
      <c r="B64" s="1" t="n">
        <v>44858</v>
      </c>
      <c r="C64" s="1" t="n">
        <v>46203</v>
      </c>
      <c r="D64" t="inlineStr">
        <is>
          <t>VÄSTMANLANDS LÄN</t>
        </is>
      </c>
      <c r="E64" t="inlineStr">
        <is>
          <t>FAGERSTA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22590-2025</t>
        </is>
      </c>
      <c r="B65" s="1" t="n">
        <v>45789</v>
      </c>
      <c r="C65" s="1" t="n">
        <v>46203</v>
      </c>
      <c r="D65" t="inlineStr">
        <is>
          <t>VÄSTMANLANDS LÄN</t>
        </is>
      </c>
      <c r="E65" t="inlineStr">
        <is>
          <t>FAGERSTA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42844-2024</t>
        </is>
      </c>
      <c r="B66" s="1" t="n">
        <v>45566</v>
      </c>
      <c r="C66" s="1" t="n">
        <v>46203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21679-2024</t>
        </is>
      </c>
      <c r="B67" s="1" t="n">
        <v>45442</v>
      </c>
      <c r="C67" s="1" t="n">
        <v>46203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</v>
      </c>
      <c r="C68" s="1" t="n">
        <v>46203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28249-2022</t>
        </is>
      </c>
      <c r="B69" s="1" t="n">
        <v>44746</v>
      </c>
      <c r="C69" s="1" t="n">
        <v>46203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11660-2023</t>
        </is>
      </c>
      <c r="B70" s="1" t="n">
        <v>44994</v>
      </c>
      <c r="C70" s="1" t="n">
        <v>46203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32249-2022</t>
        </is>
      </c>
      <c r="B71" s="1" t="n">
        <v>44781</v>
      </c>
      <c r="C71" s="1" t="n">
        <v>46203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8264-2023</t>
        </is>
      </c>
      <c r="B72" s="1" t="n">
        <v>44974</v>
      </c>
      <c r="C72" s="1" t="n">
        <v>46203</v>
      </c>
      <c r="D72" t="inlineStr">
        <is>
          <t>VÄSTMANLANDS LÄN</t>
        </is>
      </c>
      <c r="E72" t="inlineStr">
        <is>
          <t>FAGERSTA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60374-2025</t>
        </is>
      </c>
      <c r="B73" s="1" t="n">
        <v>45995</v>
      </c>
      <c r="C73" s="1" t="n">
        <v>46203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10526-2026</t>
        </is>
      </c>
      <c r="B74" s="1" t="n">
        <v>46077</v>
      </c>
      <c r="C74" s="1" t="n">
        <v>46203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22482-2023</t>
        </is>
      </c>
      <c r="B75" s="1" t="n">
        <v>45071</v>
      </c>
      <c r="C75" s="1" t="n">
        <v>46203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22485-2023</t>
        </is>
      </c>
      <c r="B76" s="1" t="n">
        <v>45071</v>
      </c>
      <c r="C76" s="1" t="n">
        <v>46203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10520-2026</t>
        </is>
      </c>
      <c r="B77" s="1" t="n">
        <v>46077</v>
      </c>
      <c r="C77" s="1" t="n">
        <v>46203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19.5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10686-2026</t>
        </is>
      </c>
      <c r="B78" s="1" t="n">
        <v>46078</v>
      </c>
      <c r="C78" s="1" t="n">
        <v>46203</v>
      </c>
      <c r="D78" t="inlineStr">
        <is>
          <t>VÄSTMANLANDS LÄN</t>
        </is>
      </c>
      <c r="E78" t="inlineStr">
        <is>
          <t>FAGERSTA</t>
        </is>
      </c>
      <c r="F78" t="inlineStr">
        <is>
          <t>Bergvik skog väst AB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13079-2026</t>
        </is>
      </c>
      <c r="B79" s="1" t="n">
        <v>46093</v>
      </c>
      <c r="C79" s="1" t="n">
        <v>46203</v>
      </c>
      <c r="D79" t="inlineStr">
        <is>
          <t>VÄSTMANLANDS LÄN</t>
        </is>
      </c>
      <c r="E79" t="inlineStr">
        <is>
          <t>FAGERSTA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46203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31231-2024</t>
        </is>
      </c>
      <c r="B81" s="1" t="n">
        <v>45503</v>
      </c>
      <c r="C81" s="1" t="n">
        <v>46203</v>
      </c>
      <c r="D81" t="inlineStr">
        <is>
          <t>VÄSTMANLANDS LÄN</t>
        </is>
      </c>
      <c r="E81" t="inlineStr">
        <is>
          <t>FAGERSTA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17886-2026</t>
        </is>
      </c>
      <c r="B82" s="1" t="n">
        <v>46122</v>
      </c>
      <c r="C82" s="1" t="n">
        <v>46203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23646-2026</t>
        </is>
      </c>
      <c r="B83" s="1" t="n">
        <v>46164</v>
      </c>
      <c r="C83" s="1" t="n">
        <v>46203</v>
      </c>
      <c r="D83" t="inlineStr">
        <is>
          <t>VÄSTMANLANDS LÄN</t>
        </is>
      </c>
      <c r="E83" t="inlineStr">
        <is>
          <t>FAGERSTA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18782-2026</t>
        </is>
      </c>
      <c r="B84" s="1" t="n">
        <v>46128</v>
      </c>
      <c r="C84" s="1" t="n">
        <v>46203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18781-2026</t>
        </is>
      </c>
      <c r="B85" s="1" t="n">
        <v>46128</v>
      </c>
      <c r="C85" s="1" t="n">
        <v>46203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18783-2026</t>
        </is>
      </c>
      <c r="B86" s="1" t="n">
        <v>46128</v>
      </c>
      <c r="C86" s="1" t="n">
        <v>46203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17893-2026</t>
        </is>
      </c>
      <c r="B87" s="1" t="n">
        <v>46122</v>
      </c>
      <c r="C87" s="1" t="n">
        <v>46203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19707-2026</t>
        </is>
      </c>
      <c r="B88" s="1" t="n">
        <v>46134</v>
      </c>
      <c r="C88" s="1" t="n">
        <v>46203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</v>
      </c>
      <c r="C89" s="1" t="n">
        <v>46203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19708-2026</t>
        </is>
      </c>
      <c r="B90" s="1" t="n">
        <v>46134</v>
      </c>
      <c r="C90" s="1" t="n">
        <v>46203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19825-2026</t>
        </is>
      </c>
      <c r="B91" s="1" t="n">
        <v>46135</v>
      </c>
      <c r="C91" s="1" t="n">
        <v>46203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</v>
      </c>
      <c r="C92" s="1" t="n">
        <v>46203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26509-2022</t>
        </is>
      </c>
      <c r="B93" s="1" t="n">
        <v>44739</v>
      </c>
      <c r="C93" s="1" t="n">
        <v>46203</v>
      </c>
      <c r="D93" t="inlineStr">
        <is>
          <t>VÄSTMANLANDS LÄN</t>
        </is>
      </c>
      <c r="E93" t="inlineStr">
        <is>
          <t>FAGERSTA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15812-2025</t>
        </is>
      </c>
      <c r="B94" s="1" t="n">
        <v>45748</v>
      </c>
      <c r="C94" s="1" t="n">
        <v>46203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49311-2022</t>
        </is>
      </c>
      <c r="B95" s="1" t="n">
        <v>44861</v>
      </c>
      <c r="C95" s="1" t="n">
        <v>46203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26057-2026</t>
        </is>
      </c>
      <c r="B96" s="1" t="n">
        <v>46181</v>
      </c>
      <c r="C96" s="1" t="n">
        <v>46203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20583-2026</t>
        </is>
      </c>
      <c r="B97" s="1" t="n">
        <v>46140</v>
      </c>
      <c r="C97" s="1" t="n">
        <v>46203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29073-2025</t>
        </is>
      </c>
      <c r="B98" s="1" t="n">
        <v>45821</v>
      </c>
      <c r="C98" s="1" t="n">
        <v>46203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13391-2026</t>
        </is>
      </c>
      <c r="B99" s="1" t="n">
        <v>46094</v>
      </c>
      <c r="C99" s="1" t="n">
        <v>46203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21890-2026</t>
        </is>
      </c>
      <c r="B100" s="1" t="n">
        <v>46150</v>
      </c>
      <c r="C100" s="1" t="n">
        <v>46203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21888-2026</t>
        </is>
      </c>
      <c r="B101" s="1" t="n">
        <v>46150</v>
      </c>
      <c r="C101" s="1" t="n">
        <v>46203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21889-2026</t>
        </is>
      </c>
      <c r="B102" s="1" t="n">
        <v>46150</v>
      </c>
      <c r="C102" s="1" t="n">
        <v>46203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21892-2026</t>
        </is>
      </c>
      <c r="B103" s="1" t="n">
        <v>46150</v>
      </c>
      <c r="C103" s="1" t="n">
        <v>46203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21891-2026</t>
        </is>
      </c>
      <c r="B104" s="1" t="n">
        <v>46150</v>
      </c>
      <c r="C104" s="1" t="n">
        <v>46203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41644-2025</t>
        </is>
      </c>
      <c r="B105" s="1" t="n">
        <v>45902</v>
      </c>
      <c r="C105" s="1" t="n">
        <v>46203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22484-2023</t>
        </is>
      </c>
      <c r="B106" s="1" t="n">
        <v>45071</v>
      </c>
      <c r="C106" s="1" t="n">
        <v>46203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54804-2023</t>
        </is>
      </c>
      <c r="B107" s="1" t="n">
        <v>45236</v>
      </c>
      <c r="C107" s="1" t="n">
        <v>46203</v>
      </c>
      <c r="D107" t="inlineStr">
        <is>
          <t>VÄSTMANLANDS LÄN</t>
        </is>
      </c>
      <c r="E107" t="inlineStr">
        <is>
          <t>FAGERSTA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22323-2024</t>
        </is>
      </c>
      <c r="B108" s="1" t="n">
        <v>45446</v>
      </c>
      <c r="C108" s="1" t="n">
        <v>46203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46203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33007-2023</t>
        </is>
      </c>
      <c r="B110" s="1" t="n">
        <v>45125</v>
      </c>
      <c r="C110" s="1" t="n">
        <v>46203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56694-2024</t>
        </is>
      </c>
      <c r="B111" s="1" t="n">
        <v>45627</v>
      </c>
      <c r="C111" s="1" t="n">
        <v>46203</v>
      </c>
      <c r="D111" t="inlineStr">
        <is>
          <t>VÄSTMANLANDS LÄN</t>
        </is>
      </c>
      <c r="E111" t="inlineStr">
        <is>
          <t>FAGERSTA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19888-2025</t>
        </is>
      </c>
      <c r="B112" s="1" t="n">
        <v>45771</v>
      </c>
      <c r="C112" s="1" t="n">
        <v>46203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37955-2023</t>
        </is>
      </c>
      <c r="B113" s="1" t="n">
        <v>45160</v>
      </c>
      <c r="C113" s="1" t="n">
        <v>46203</v>
      </c>
      <c r="D113" t="inlineStr">
        <is>
          <t>VÄSTMANLANDS LÄN</t>
        </is>
      </c>
      <c r="E113" t="inlineStr">
        <is>
          <t>FAGERSTA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58464-2024</t>
        </is>
      </c>
      <c r="B114" s="1" t="n">
        <v>45635</v>
      </c>
      <c r="C114" s="1" t="n">
        <v>46203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19156-2025</t>
        </is>
      </c>
      <c r="B115" s="1" t="n">
        <v>45769</v>
      </c>
      <c r="C115" s="1" t="n">
        <v>46203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13697-2025</t>
        </is>
      </c>
      <c r="B116" s="1" t="n">
        <v>45737</v>
      </c>
      <c r="C116" s="1" t="n">
        <v>46203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33357-2023</t>
        </is>
      </c>
      <c r="B117" s="1" t="n">
        <v>45128</v>
      </c>
      <c r="C117" s="1" t="n">
        <v>46203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45390-2023</t>
        </is>
      </c>
      <c r="B118" s="1" t="n">
        <v>45193</v>
      </c>
      <c r="C118" s="1" t="n">
        <v>46203</v>
      </c>
      <c r="D118" t="inlineStr">
        <is>
          <t>VÄSTMANLANDS LÄN</t>
        </is>
      </c>
      <c r="E118" t="inlineStr">
        <is>
          <t>FAGERSTA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</v>
      </c>
      <c r="C119" s="1" t="n">
        <v>46203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63480-2023</t>
        </is>
      </c>
      <c r="B120" s="1" t="n">
        <v>45274</v>
      </c>
      <c r="C120" s="1" t="n">
        <v>46203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46203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30630-2023</t>
        </is>
      </c>
      <c r="B122" s="1" t="n">
        <v>45112</v>
      </c>
      <c r="C122" s="1" t="n">
        <v>46203</v>
      </c>
      <c r="D122" t="inlineStr">
        <is>
          <t>VÄSTMANLANDS LÄN</t>
        </is>
      </c>
      <c r="E122" t="inlineStr">
        <is>
          <t>FAGERSTA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56699-2024</t>
        </is>
      </c>
      <c r="B123" s="1" t="n">
        <v>45627</v>
      </c>
      <c r="C123" s="1" t="n">
        <v>46203</v>
      </c>
      <c r="D123" t="inlineStr">
        <is>
          <t>VÄSTMANLANDS LÄN</t>
        </is>
      </c>
      <c r="E123" t="inlineStr">
        <is>
          <t>FAGERSTA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51586-2023</t>
        </is>
      </c>
      <c r="B124" s="1" t="n">
        <v>45222</v>
      </c>
      <c r="C124" s="1" t="n">
        <v>46203</v>
      </c>
      <c r="D124" t="inlineStr">
        <is>
          <t>VÄSTMANLANDS LÄN</t>
        </is>
      </c>
      <c r="E124" t="inlineStr">
        <is>
          <t>FAGERSTA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18463-2025</t>
        </is>
      </c>
      <c r="B125" s="1" t="n">
        <v>45762</v>
      </c>
      <c r="C125" s="1" t="n">
        <v>46203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19213-2025</t>
        </is>
      </c>
      <c r="B126" s="1" t="n">
        <v>45769</v>
      </c>
      <c r="C126" s="1" t="n">
        <v>46203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2026-06-30T00:57:47Z</dcterms:created>
  <dcterms:modified xmlns:dcterms="http://purl.org/dc/terms/" xmlns:xsi="http://www.w3.org/2001/XMLSchema-instance" xsi:type="dcterms:W3CDTF">2026-06-30T00:57:47Z</dcterms:modified>
</cp:coreProperties>
</file>