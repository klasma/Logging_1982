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46226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46226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46226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46226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46226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46226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46226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46226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46226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46226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38127-2021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44405</v>
      </c>
      <c r="E20" s="1" t="n">
        <v>46226</v>
      </c>
      <c r="F20" t="inlineStr">
        <is>
          <t>VÄSTMANLANDS LÄN</t>
        </is>
      </c>
      <c r="G20" t="inlineStr">
        <is>
          <t>FAGERSTA</t>
        </is>
      </c>
      <c r="H20" t="inlineStr">
        <is>
          <t>Sveaskog</t>
        </is>
      </c>
      <c r="I20" t="n">
        <v>2.8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HYPERLINK("https://klasma.github.io/Logging_1982/artfynd/A 38127-2021 artfynd.xlsx", "A 38127-2021")</f>
        <v/>
      </c>
      <c r="X20">
        <f>HYPERLINK("https://klasma.github.io/Logging_1982/kartor/A 38127-2021 karta.png", "A 38127-2021")</f>
        <v/>
      </c>
      <c r="Y20">
        <f>HYPERLINK("https://klasma.github.io/Logging_1982/kartor_geotiff/A 38127-2021 georefererad karta.tif", "A 38127-2021")</f>
        <v/>
      </c>
      <c r="Z20">
        <f>HYPERLINK("https://klasma.github.io/Logging_1982/knärot/A 38127-2021 karta knärot.png", "A 38127-2021")</f>
        <v/>
      </c>
      <c r="AA20">
        <f>HYPERLINK("https://klasma.github.io/Logging_1982/klagomål/A 38127-2021 FSC-klagomål.docx", "A 38127-2021")</f>
        <v/>
      </c>
      <c r="AB20">
        <f>HYPERLINK("https://klasma.github.io/Logging_1982/klagomålsmail/A 38127-2021 FSC-klagomål mail.docx", "A 38127-2021")</f>
        <v/>
      </c>
      <c r="AC20">
        <f>HYPERLINK("https://klasma.github.io/Logging_1982/tillsyn/A 38127-2021 tillsynsbegäran.docx", "A 38127-2021")</f>
        <v/>
      </c>
      <c r="AD20">
        <f>HYPERLINK("https://klasma.github.io/Logging_1982/tillsynsmail/A 38127-2021 tillsynsbegäran mail.docx", "A 38127-2021")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46226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märgborre</t>
        </is>
      </c>
      <c r="W21">
        <f>HYPERLINK("https://klasma.github.io/Logging_1982/artfynd/A 58307-2024 artfynd.xlsx", "A 58307-2024")</f>
        <v/>
      </c>
      <c r="X21">
        <f>HYPERLINK("https://klasma.github.io/Logging_1982/kartor/A 58307-2024 karta.png", "A 58307-2024")</f>
        <v/>
      </c>
      <c r="Y21">
        <f>HYPERLINK("https://klasma.github.io/Logging_1982/kartor_geotiff/A 58307-2024 georefererad karta.tif", "A 58307-2024")</f>
        <v/>
      </c>
      <c r="AA21">
        <f>HYPERLINK("https://klasma.github.io/Logging_1982/klagomål/A 58307-2024 FSC-klagomål.docx", "A 58307-2024")</f>
        <v/>
      </c>
      <c r="AB21">
        <f>HYPERLINK("https://klasma.github.io/Logging_1982/klagomålsmail/A 58307-2024 FSC-klagomål mail.docx", "A 58307-2024")</f>
        <v/>
      </c>
      <c r="AC21">
        <f>HYPERLINK("https://klasma.github.io/Logging_1982/tillsyn/A 58307-2024 tillsynsbegäran.docx", "A 58307-2024")</f>
        <v/>
      </c>
      <c r="AD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46226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46226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46226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46226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46226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46226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46226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46226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46226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46226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46226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46226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46226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46226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46226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46226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46226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46226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46226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22482-2023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45071</v>
      </c>
      <c r="E41" s="1" t="n">
        <v>46226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45071</v>
      </c>
      <c r="E42" s="1" t="n">
        <v>46226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45627</v>
      </c>
      <c r="E43" s="1" t="n">
        <v>46226</v>
      </c>
      <c r="F43" t="inlineStr">
        <is>
          <t>VÄSTMANLANDS LÄN</t>
        </is>
      </c>
      <c r="G43" t="inlineStr">
        <is>
          <t>FAGERSTA</t>
        </is>
      </c>
      <c r="I43" t="n">
        <v>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46226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46226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46226</v>
      </c>
      <c r="F46" t="inlineStr">
        <is>
          <t>VÄSTMANLANDS LÄN</t>
        </is>
      </c>
      <c r="G46" t="inlineStr">
        <is>
          <t>FAGERSTA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46226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44994</v>
      </c>
      <c r="E48" s="1" t="n">
        <v>46226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32249-2022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44781</v>
      </c>
      <c r="E49" s="1" t="n">
        <v>46226</v>
      </c>
      <c r="F49" t="inlineStr">
        <is>
          <t>VÄSTMANLANDS LÄN</t>
        </is>
      </c>
      <c r="G49" t="inlineStr">
        <is>
          <t>FAGERSTA</t>
        </is>
      </c>
      <c r="H49" t="inlineStr">
        <is>
          <t>Kommuner</t>
        </is>
      </c>
      <c r="I49" t="n">
        <v>22.9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46226</v>
      </c>
      <c r="F50" t="inlineStr">
        <is>
          <t>VÄSTMANLANDS LÄN</t>
        </is>
      </c>
      <c r="G50" t="inlineStr">
        <is>
          <t>FAGERSTA</t>
        </is>
      </c>
      <c r="H50" t="inlineStr">
        <is>
          <t>Kommuner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60374-2025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45995</v>
      </c>
      <c r="E51" s="1" t="n">
        <v>46226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46226</v>
      </c>
      <c r="F52" t="inlineStr">
        <is>
          <t>VÄSTMANLANDS LÄN</t>
        </is>
      </c>
      <c r="G52" t="inlineStr">
        <is>
          <t>FAGERSTA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10520-2026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46077</v>
      </c>
      <c r="E53" s="1" t="n">
        <v>46226</v>
      </c>
      <c r="F53" t="inlineStr">
        <is>
          <t>VÄSTMANLANDS LÄN</t>
        </is>
      </c>
      <c r="G53" t="inlineStr">
        <is>
          <t>FAGERSTA</t>
        </is>
      </c>
      <c r="H53" t="inlineStr">
        <is>
          <t>Bergvik skog väst AB</t>
        </is>
      </c>
      <c r="I53" t="n">
        <v>19.5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46078</v>
      </c>
      <c r="E54" s="1" t="n">
        <v>46226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18.6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10526-2026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46226</v>
      </c>
      <c r="F55" t="inlineStr">
        <is>
          <t>VÄSTMANLANDS LÄN</t>
        </is>
      </c>
      <c r="G55" t="inlineStr">
        <is>
          <t>FAGERSTA</t>
        </is>
      </c>
      <c r="H55" t="inlineStr">
        <is>
          <t>Bergvik skog väst AB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45821</v>
      </c>
      <c r="E56" s="1" t="n">
        <v>46226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42844-2024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45566</v>
      </c>
      <c r="E57" s="1" t="n">
        <v>46226</v>
      </c>
      <c r="F57" t="inlineStr">
        <is>
          <t>VÄSTMANLANDS LÄN</t>
        </is>
      </c>
      <c r="G57" t="inlineStr">
        <is>
          <t>FAGERSTA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46226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58464-2024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45635</v>
      </c>
      <c r="E59" s="1" t="n">
        <v>46226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44919</v>
      </c>
      <c r="E60" s="1" t="n">
        <v>46226</v>
      </c>
      <c r="F60" t="inlineStr">
        <is>
          <t>VÄSTMANLANDS LÄN</t>
        </is>
      </c>
      <c r="G60" t="inlineStr">
        <is>
          <t>FAGERSTA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46359-2025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45925</v>
      </c>
      <c r="E61" s="1" t="n">
        <v>46226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32001-2025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45835</v>
      </c>
      <c r="E62" s="1" t="n">
        <v>46226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46122</v>
      </c>
      <c r="E63" s="1" t="n">
        <v>46226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17893-2026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46122</v>
      </c>
      <c r="E64" s="1" t="n">
        <v>46226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18782-2026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46128</v>
      </c>
      <c r="E65" s="1" t="n">
        <v>46226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46226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18783-2026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46128</v>
      </c>
      <c r="E67" s="1" t="n">
        <v>46226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33236-2025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45840</v>
      </c>
      <c r="E68" s="1" t="n">
        <v>46226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46226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33232-2025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45840</v>
      </c>
      <c r="E70" s="1" t="n">
        <v>46226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46226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33238-2025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45840</v>
      </c>
      <c r="E72" s="1" t="n">
        <v>46226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46134</v>
      </c>
      <c r="E73" s="1" t="n">
        <v>46226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34374-2025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45846</v>
      </c>
      <c r="E74" s="1" t="n">
        <v>46226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46226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30630-2023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46226</v>
      </c>
      <c r="F76" t="inlineStr">
        <is>
          <t>VÄSTMANLANDS LÄN</t>
        </is>
      </c>
      <c r="G76" t="inlineStr">
        <is>
          <t>FAGERSTA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46226</v>
      </c>
      <c r="F77" t="inlineStr">
        <is>
          <t>VÄSTMANLANDS LÄN</t>
        </is>
      </c>
      <c r="G77" t="inlineStr">
        <is>
          <t>FAGERSTA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45980</v>
      </c>
      <c r="E78" s="1" t="n">
        <v>46226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29073-2025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45821</v>
      </c>
      <c r="E79" s="1" t="n">
        <v>46226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46140</v>
      </c>
      <c r="E80" s="1" t="n">
        <v>46226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46226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46226</v>
      </c>
      <c r="F82" t="inlineStr">
        <is>
          <t>VÄSTMANLANDS LÄN</t>
        </is>
      </c>
      <c r="G82" t="inlineStr">
        <is>
          <t>FAGERSTA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46226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57855-2023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45247</v>
      </c>
      <c r="E84" s="1" t="n">
        <v>46226</v>
      </c>
      <c r="F84" t="inlineStr">
        <is>
          <t>VÄSTMANLANDS LÄN</t>
        </is>
      </c>
      <c r="G84" t="inlineStr">
        <is>
          <t>FAGERSTA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63305-2025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46010</v>
      </c>
      <c r="E85" s="1" t="n">
        <v>46226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46226</v>
      </c>
      <c r="F86" t="inlineStr">
        <is>
          <t>VÄSTMANLANDS LÄN</t>
        </is>
      </c>
      <c r="G86" t="inlineStr">
        <is>
          <t>FAGERSTA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46226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46226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46226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46226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46226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63480-2023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46226</v>
      </c>
      <c r="F92" t="inlineStr">
        <is>
          <t>VÄSTMANLANDS LÄN</t>
        </is>
      </c>
      <c r="G92" t="inlineStr">
        <is>
          <t>FAGERSTA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41644-2025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45902</v>
      </c>
      <c r="E93" s="1" t="n">
        <v>46226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45627</v>
      </c>
      <c r="E94" s="1" t="n">
        <v>46226</v>
      </c>
      <c r="F94" t="inlineStr">
        <is>
          <t>VÄSTMANLANDS LÄN</t>
        </is>
      </c>
      <c r="G94" t="inlineStr">
        <is>
          <t>FAGERSTA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23646-2026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46226</v>
      </c>
      <c r="F95" t="inlineStr">
        <is>
          <t>VÄSTMANLANDS LÄN</t>
        </is>
      </c>
      <c r="G95" t="inlineStr">
        <is>
          <t>FAGERSTA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7380-2025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45705</v>
      </c>
      <c r="E96" s="1" t="n">
        <v>46226</v>
      </c>
      <c r="F96" t="inlineStr">
        <is>
          <t>VÄSTMANLANDS LÄN</t>
        </is>
      </c>
      <c r="G96" t="inlineStr">
        <is>
          <t>FAGERSTA</t>
        </is>
      </c>
      <c r="H96" t="inlineStr">
        <is>
          <t>Bergvik skog väst AB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46213</v>
      </c>
      <c r="E97" s="1" t="n">
        <v>46226</v>
      </c>
      <c r="F97" t="inlineStr">
        <is>
          <t>VÄSTMANLANDS LÄN</t>
        </is>
      </c>
      <c r="G97" t="inlineStr">
        <is>
          <t>FAGERSTA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45722</v>
      </c>
      <c r="E98" s="1" t="n">
        <v>46226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56739-2021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46226</v>
      </c>
      <c r="F99" t="inlineStr">
        <is>
          <t>VÄSTMANLANDS LÄN</t>
        </is>
      </c>
      <c r="G99" t="inlineStr">
        <is>
          <t>FAGERSTA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13697-2025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45737</v>
      </c>
      <c r="E100" s="1" t="n">
        <v>46226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Bergvik skog väst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46226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19156-2025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46226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26057-2026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46226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19153-2025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46226</v>
      </c>
      <c r="F104" t="inlineStr">
        <is>
          <t>VÄSTMANLANDS LÄN</t>
        </is>
      </c>
      <c r="G104" t="inlineStr">
        <is>
          <t>FAGERSTA</t>
        </is>
      </c>
      <c r="I104" t="n">
        <v>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21679-2024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45442</v>
      </c>
      <c r="E105" s="1" t="n">
        <v>46226</v>
      </c>
      <c r="F105" t="inlineStr">
        <is>
          <t>VÄSTMANLANDS LÄN</t>
        </is>
      </c>
      <c r="G105" t="inlineStr">
        <is>
          <t>FAGERSTA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46226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45762</v>
      </c>
      <c r="E107" s="1" t="n">
        <v>46226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46226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Övriga Aktiebolag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46226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15812-2025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45748</v>
      </c>
      <c r="E110" s="1" t="n">
        <v>46226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45071</v>
      </c>
      <c r="E111" s="1" t="n">
        <v>46226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46226</v>
      </c>
      <c r="F112" t="inlineStr">
        <is>
          <t>VÄSTMANLANDS LÄN</t>
        </is>
      </c>
      <c r="G112" t="inlineStr">
        <is>
          <t>FAGERSTA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46226</v>
      </c>
      <c r="F113" t="inlineStr">
        <is>
          <t>VÄSTMANLANDS LÄN</t>
        </is>
      </c>
      <c r="G113" t="inlineStr">
        <is>
          <t>FAGERSTA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20909-2024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46226</v>
      </c>
      <c r="F114" t="inlineStr">
        <is>
          <t>VÄSTMANLANDS LÄN</t>
        </is>
      </c>
      <c r="G114" t="inlineStr">
        <is>
          <t>FAGERSTA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45193</v>
      </c>
      <c r="E115" s="1" t="n">
        <v>46226</v>
      </c>
      <c r="F115" t="inlineStr">
        <is>
          <t>VÄSTMANLANDS LÄN</t>
        </is>
      </c>
      <c r="G115" t="inlineStr">
        <is>
          <t>FAGERSTA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46226</v>
      </c>
      <c r="F116" t="inlineStr">
        <is>
          <t>VÄSTMANLANDS LÄN</t>
        </is>
      </c>
      <c r="G116" t="inlineStr">
        <is>
          <t>FAGERSTA</t>
        </is>
      </c>
      <c r="H116" t="inlineStr">
        <is>
          <t>Övriga Aktiebolag</t>
        </is>
      </c>
      <c r="I116" t="n">
        <v>14.6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45125</v>
      </c>
      <c r="E117" s="1" t="n">
        <v>46226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46226</v>
      </c>
      <c r="F118" t="inlineStr">
        <is>
          <t>VÄSTMANLANDS LÄN</t>
        </is>
      </c>
      <c r="G118" t="inlineStr">
        <is>
          <t>FAGERSTA</t>
        </is>
      </c>
      <c r="I118" t="n">
        <v>8.5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45632</v>
      </c>
      <c r="E119" s="1" t="n">
        <v>46226</v>
      </c>
      <c r="F119" t="inlineStr">
        <is>
          <t>VÄSTMANLANDS LÄN</t>
        </is>
      </c>
      <c r="G119" t="inlineStr">
        <is>
          <t>FAGERSTA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44998</v>
      </c>
      <c r="E120" s="1" t="n">
        <v>46226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Övriga Aktiebolag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30813-2022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44764</v>
      </c>
      <c r="E121" s="1" t="n">
        <v>46226</v>
      </c>
      <c r="F121" t="inlineStr">
        <is>
          <t>VÄSTMANLANDS LÄN</t>
        </is>
      </c>
      <c r="G121" t="inlineStr">
        <is>
          <t>FAGERSTA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46226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45785</v>
      </c>
      <c r="E123" s="1" t="n">
        <v>46226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18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46226</v>
      </c>
      <c r="F124" t="inlineStr">
        <is>
          <t>VÄSTMANLANDS LÄN</t>
        </is>
      </c>
      <c r="G124" t="inlineStr">
        <is>
          <t>FAGERSTA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46226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46226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46226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46226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46226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2026-07-23T01:47:06Z</dcterms:created>
  <dcterms:modified xmlns:dcterms="http://purl.org/dc/terms/" xmlns:xsi="http://www.w3.org/2001/XMLSchema-instance" xsi:type="dcterms:W3CDTF">2026-07-23T01:47:06Z</dcterms:modified>
</cp:coreProperties>
</file>