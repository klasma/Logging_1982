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46221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V2">
        <f>HYPERLINK("https://klasma.github.io/Logging_1982/artfynd/S 3629-2024 artfynd.xlsx", "S 3629-2024")</f>
        <v/>
      </c>
      <c r="W2">
        <f>HYPERLINK("https://klasma.github.io/Logging_1982/kartor/S 3629-2024 karta.png", "S 3629-2024")</f>
        <v/>
      </c>
      <c r="Y2">
        <f>HYPERLINK("https://klasma.github.io/Logging_1982/klagomål/S 3629-2024 FSC-klagomål.docx", "S 3629-2024")</f>
        <v/>
      </c>
      <c r="Z2">
        <f>HYPERLINK("https://klasma.github.io/Logging_1982/klagomålsmail/S 3629-2024 FSC-klagomål mail.docx", "S 3629-2024")</f>
        <v/>
      </c>
      <c r="AA2">
        <f>HYPERLINK("https://klasma.github.io/Logging_1982/tillsyn/S 3629-2024 tillsynsbegäran.docx", "S 3629-2024")</f>
        <v/>
      </c>
      <c r="AB2">
        <f>HYPERLINK("https://klasma.github.io/Logging_1982/tillsynsmail/S 3629-2024 tillsynsbegäran mail.docx", "S 3629-2024")</f>
        <v/>
      </c>
      <c r="AC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46221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s="2" t="inlineStr">
        <is>
          <t>Mosippa
Brunklöver
Dofttaggsvamp
Motaggsvamp
Källpraktmossa
Plattlummer
Spindelblomster
Zontaggsvamp
Mattlummer</t>
        </is>
      </c>
      <c r="V3">
        <f>HYPERLINK("https://klasma.github.io/Logging_1982/artfynd/S 3571-2025 artfynd.xlsx", "S 3571-2025")</f>
        <v/>
      </c>
      <c r="W3">
        <f>HYPERLINK("https://klasma.github.io/Logging_1982/kartor/S 3571-2025 karta.png", "S 3571-2025")</f>
        <v/>
      </c>
      <c r="Y3">
        <f>HYPERLINK("https://klasma.github.io/Logging_1982/klagomål/S 3571-2025 FSC-klagomål.docx", "S 3571-2025")</f>
        <v/>
      </c>
      <c r="Z3">
        <f>HYPERLINK("https://klasma.github.io/Logging_1982/klagomålsmail/S 3571-2025 FSC-klagomål mail.docx", "S 3571-2025")</f>
        <v/>
      </c>
      <c r="AA3">
        <f>HYPERLINK("https://klasma.github.io/Logging_1982/tillsyn/S 3571-2025 tillsynsbegäran.docx", "S 3571-2025")</f>
        <v/>
      </c>
      <c r="AB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46221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s="2" t="inlineStr">
        <is>
          <t>Motaggsvamp
Stjärntagging
Tallticka
Ullticka
Vedtrappmossa
Kornknutmossa
Orre</t>
        </is>
      </c>
      <c r="V4">
        <f>HYPERLINK("https://klasma.github.io/Logging_1982/artfynd/A 28438-2022 artfynd.xlsx", "A 28438-2022")</f>
        <v/>
      </c>
      <c r="W4">
        <f>HYPERLINK("https://klasma.github.io/Logging_1982/kartor/A 28438-2022 karta.png", "A 28438-2022")</f>
        <v/>
      </c>
      <c r="Y4">
        <f>HYPERLINK("https://klasma.github.io/Logging_1982/klagomål/A 28438-2022 FSC-klagomål.docx", "A 28438-2022")</f>
        <v/>
      </c>
      <c r="Z4">
        <f>HYPERLINK("https://klasma.github.io/Logging_1982/klagomålsmail/A 28438-2022 FSC-klagomål mail.docx", "A 28438-2022")</f>
        <v/>
      </c>
      <c r="AA4">
        <f>HYPERLINK("https://klasma.github.io/Logging_1982/tillsyn/A 28438-2022 tillsynsbegäran.docx", "A 28438-2022")</f>
        <v/>
      </c>
      <c r="AB4">
        <f>HYPERLINK("https://klasma.github.io/Logging_1982/tillsynsmail/A 28438-2022 tillsynsbegäran mail.docx", "A 28438-2022")</f>
        <v/>
      </c>
      <c r="AC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46221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s="2" t="inlineStr">
        <is>
          <t>Knärot
Dofttaggsvamp
Motaggsvamp
Talltita
Ullticka
Älg
Tjäder</t>
        </is>
      </c>
      <c r="V5">
        <f>HYPERLINK("https://klasma.github.io/Logging_1982/artfynd/A 12909-2025 artfynd.xlsx", "A 12909-2025")</f>
        <v/>
      </c>
      <c r="W5">
        <f>HYPERLINK("https://klasma.github.io/Logging_1982/kartor/A 12909-2025 karta.png", "A 12909-2025")</f>
        <v/>
      </c>
      <c r="X5">
        <f>HYPERLINK("https://klasma.github.io/Logging_1982/knärot/A 12909-2025 karta knärot.png", "A 12909-2025")</f>
        <v/>
      </c>
      <c r="Y5">
        <f>HYPERLINK("https://klasma.github.io/Logging_1982/klagomål/A 12909-2025 FSC-klagomål.docx", "A 12909-2025")</f>
        <v/>
      </c>
      <c r="Z5">
        <f>HYPERLINK("https://klasma.github.io/Logging_1982/klagomålsmail/A 12909-2025 FSC-klagomål mail.docx", "A 12909-2025")</f>
        <v/>
      </c>
      <c r="AA5">
        <f>HYPERLINK("https://klasma.github.io/Logging_1982/tillsyn/A 12909-2025 tillsynsbegäran.docx", "A 12909-2025")</f>
        <v/>
      </c>
      <c r="AB5">
        <f>HYPERLINK("https://klasma.github.io/Logging_1982/tillsynsmail/A 12909-2025 tillsynsbegäran mail.docx", "A 12909-2025")</f>
        <v/>
      </c>
      <c r="AC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46221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Knärot
Gropticka
Talltita
Vedticka</t>
        </is>
      </c>
      <c r="V6">
        <f>HYPERLINK("https://klasma.github.io/Logging_1982/artfynd/A 17686-2025 artfynd.xlsx", "A 17686-2025")</f>
        <v/>
      </c>
      <c r="W6">
        <f>HYPERLINK("https://klasma.github.io/Logging_1982/kartor/A 17686-2025 karta.png", "A 17686-2025")</f>
        <v/>
      </c>
      <c r="X6">
        <f>HYPERLINK("https://klasma.github.io/Logging_1982/knärot/A 17686-2025 karta knärot.png", "A 17686-2025")</f>
        <v/>
      </c>
      <c r="Y6">
        <f>HYPERLINK("https://klasma.github.io/Logging_1982/klagomål/A 17686-2025 FSC-klagomål.docx", "A 17686-2025")</f>
        <v/>
      </c>
      <c r="Z6">
        <f>HYPERLINK("https://klasma.github.io/Logging_1982/klagomålsmail/A 17686-2025 FSC-klagomål mail.docx", "A 17686-2025")</f>
        <v/>
      </c>
      <c r="AA6">
        <f>HYPERLINK("https://klasma.github.io/Logging_1982/tillsyn/A 17686-2025 tillsynsbegäran.docx", "A 17686-2025")</f>
        <v/>
      </c>
      <c r="AB6">
        <f>HYPERLINK("https://klasma.github.io/Logging_1982/tillsynsmail/A 17686-2025 tillsynsbegäran mail.docx", "A 17686-2025")</f>
        <v/>
      </c>
      <c r="AC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46221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s="2" t="inlineStr">
        <is>
          <t>Stjärntagging
Mörk husmossa
Spädstarr</t>
        </is>
      </c>
      <c r="V7">
        <f>HYPERLINK("https://klasma.github.io/Logging_1982/artfynd/A 28435-2022 artfynd.xlsx", "A 28435-2022")</f>
        <v/>
      </c>
      <c r="W7">
        <f>HYPERLINK("https://klasma.github.io/Logging_1982/kartor/A 28435-2022 karta.png", "A 28435-2022")</f>
        <v/>
      </c>
      <c r="Y7">
        <f>HYPERLINK("https://klasma.github.io/Logging_1982/klagomål/A 28435-2022 FSC-klagomål.docx", "A 28435-2022")</f>
        <v/>
      </c>
      <c r="Z7">
        <f>HYPERLINK("https://klasma.github.io/Logging_1982/klagomålsmail/A 28435-2022 FSC-klagomål mail.docx", "A 28435-2022")</f>
        <v/>
      </c>
      <c r="AA7">
        <f>HYPERLINK("https://klasma.github.io/Logging_1982/tillsyn/A 28435-2022 tillsynsbegäran.docx", "A 28435-2022")</f>
        <v/>
      </c>
      <c r="AB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46221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Gul taggsvamp
Fjällig taggsvamp s.str.
Grönkulla</t>
        </is>
      </c>
      <c r="V8">
        <f>HYPERLINK("https://klasma.github.io/Logging_1982/artfynd/A 51033-2025 artfynd.xlsx", "A 51033-2025")</f>
        <v/>
      </c>
      <c r="W8">
        <f>HYPERLINK("https://klasma.github.io/Logging_1982/kartor/A 51033-2025 karta.png", "A 51033-2025")</f>
        <v/>
      </c>
      <c r="Y8">
        <f>HYPERLINK("https://klasma.github.io/Logging_1982/klagomål/A 51033-2025 FSC-klagomål.docx", "A 51033-2025")</f>
        <v/>
      </c>
      <c r="Z8">
        <f>HYPERLINK("https://klasma.github.io/Logging_1982/klagomålsmail/A 51033-2025 FSC-klagomål mail.docx", "A 51033-2025")</f>
        <v/>
      </c>
      <c r="AA8">
        <f>HYPERLINK("https://klasma.github.io/Logging_1982/tillsyn/A 51033-2025 tillsynsbegäran.docx", "A 51033-2025")</f>
        <v/>
      </c>
      <c r="AB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46221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Skogsalm
Spädstarr</t>
        </is>
      </c>
      <c r="V9">
        <f>HYPERLINK("https://klasma.github.io/Logging_1982/artfynd/A 62470-2021 artfynd.xlsx", "A 62470-2021")</f>
        <v/>
      </c>
      <c r="W9">
        <f>HYPERLINK("https://klasma.github.io/Logging_1982/kartor/A 62470-2021 karta.png", "A 62470-2021")</f>
        <v/>
      </c>
      <c r="Y9">
        <f>HYPERLINK("https://klasma.github.io/Logging_1982/klagomål/A 62470-2021 FSC-klagomål.docx", "A 62470-2021")</f>
        <v/>
      </c>
      <c r="Z9">
        <f>HYPERLINK("https://klasma.github.io/Logging_1982/klagomålsmail/A 62470-2021 FSC-klagomål mail.docx", "A 62470-2021")</f>
        <v/>
      </c>
      <c r="AA9">
        <f>HYPERLINK("https://klasma.github.io/Logging_1982/tillsyn/A 62470-2021 tillsynsbegäran.docx", "A 62470-2021")</f>
        <v/>
      </c>
      <c r="AB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46221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Backruta
Hagfingersvamp</t>
        </is>
      </c>
      <c r="V10">
        <f>HYPERLINK("https://klasma.github.io/Logging_1982/artfynd/A 29532-2022 artfynd.xlsx", "A 29532-2022")</f>
        <v/>
      </c>
      <c r="W10">
        <f>HYPERLINK("https://klasma.github.io/Logging_1982/kartor/A 29532-2022 karta.png", "A 29532-2022")</f>
        <v/>
      </c>
      <c r="Y10">
        <f>HYPERLINK("https://klasma.github.io/Logging_1982/klagomål/A 29532-2022 FSC-klagomål.docx", "A 29532-2022")</f>
        <v/>
      </c>
      <c r="Z10">
        <f>HYPERLINK("https://klasma.github.io/Logging_1982/klagomålsmail/A 29532-2022 FSC-klagomål mail.docx", "A 29532-2022")</f>
        <v/>
      </c>
      <c r="AA10">
        <f>HYPERLINK("https://klasma.github.io/Logging_1982/tillsyn/A 29532-2022 tillsynsbegäran.docx", "A 29532-2022")</f>
        <v/>
      </c>
      <c r="AB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46221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s="2" t="inlineStr">
        <is>
          <t>Skogsalm
Talltita</t>
        </is>
      </c>
      <c r="V11">
        <f>HYPERLINK("https://klasma.github.io/Logging_1982/artfynd/A 1683-2026 artfynd.xlsx", "A 1683-2026")</f>
        <v/>
      </c>
      <c r="W11">
        <f>HYPERLINK("https://klasma.github.io/Logging_1982/kartor/A 1683-2026 karta.png", "A 1683-2026")</f>
        <v/>
      </c>
      <c r="Y11">
        <f>HYPERLINK("https://klasma.github.io/Logging_1982/klagomål/A 1683-2026 FSC-klagomål.docx", "A 1683-2026")</f>
        <v/>
      </c>
      <c r="Z11">
        <f>HYPERLINK("https://klasma.github.io/Logging_1982/klagomålsmail/A 1683-2026 FSC-klagomål mail.docx", "A 1683-2026")</f>
        <v/>
      </c>
      <c r="AA11">
        <f>HYPERLINK("https://klasma.github.io/Logging_1982/tillsyn/A 1683-2026 tillsynsbegäran.docx", "A 1683-2026")</f>
        <v/>
      </c>
      <c r="AB11">
        <f>HYPERLINK("https://klasma.github.io/Logging_1982/tillsynsmail/A 1683-2026 tillsynsbegäran mail.docx", "A 1683-2026")</f>
        <v/>
      </c>
      <c r="AC11">
        <f>HYPERLINK("https://klasma.github.io/Logging_1982/fåglar/A 1683-2026 prioriterade fågelarter.docx", "A 1683-2026")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46221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Bolmört
Tibast</t>
        </is>
      </c>
      <c r="V12">
        <f>HYPERLINK("https://klasma.github.io/Logging_1982/artfynd/A 7385-2023 artfynd.xlsx", "A 7385-2023")</f>
        <v/>
      </c>
      <c r="W12">
        <f>HYPERLINK("https://klasma.github.io/Logging_1982/kartor/A 7385-2023 karta.png", "A 7385-2023")</f>
        <v/>
      </c>
      <c r="Y12">
        <f>HYPERLINK("https://klasma.github.io/Logging_1982/klagomål/A 7385-2023 FSC-klagomål.docx", "A 7385-2023")</f>
        <v/>
      </c>
      <c r="Z12">
        <f>HYPERLINK("https://klasma.github.io/Logging_1982/klagomålsmail/A 7385-2023 FSC-klagomål mail.docx", "A 7385-2023")</f>
        <v/>
      </c>
      <c r="AA12">
        <f>HYPERLINK("https://klasma.github.io/Logging_1982/tillsyn/A 7385-2023 tillsynsbegäran.docx", "A 7385-2023")</f>
        <v/>
      </c>
      <c r="AB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46221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s="2" t="inlineStr">
        <is>
          <t>Garnlav
Tallticka</t>
        </is>
      </c>
      <c r="V13">
        <f>HYPERLINK("https://klasma.github.io/Logging_1982/artfynd/A 17889-2026 artfynd.xlsx", "A 17889-2026")</f>
        <v/>
      </c>
      <c r="W13">
        <f>HYPERLINK("https://klasma.github.io/Logging_1982/kartor/A 17889-2026 karta.png", "A 17889-2026")</f>
        <v/>
      </c>
      <c r="Y13">
        <f>HYPERLINK("https://klasma.github.io/Logging_1982/klagomål/A 17889-2026 FSC-klagomål.docx", "A 17889-2026")</f>
        <v/>
      </c>
      <c r="Z13">
        <f>HYPERLINK("https://klasma.github.io/Logging_1982/klagomålsmail/A 17889-2026 FSC-klagomål mail.docx", "A 17889-2026")</f>
        <v/>
      </c>
      <c r="AA13">
        <f>HYPERLINK("https://klasma.github.io/Logging_1982/tillsyn/A 17889-2026 tillsynsbegäran.docx", "A 17889-2026")</f>
        <v/>
      </c>
      <c r="AB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46221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Ögonpyrola
Fläcknycklar</t>
        </is>
      </c>
      <c r="V14">
        <f>HYPERLINK("https://klasma.github.io/Logging_1982/artfynd/A 9956-2022 artfynd.xlsx", "A 9956-2022")</f>
        <v/>
      </c>
      <c r="W14">
        <f>HYPERLINK("https://klasma.github.io/Logging_1982/kartor/A 9956-2022 karta.png", "A 9956-2022")</f>
        <v/>
      </c>
      <c r="Y14">
        <f>HYPERLINK("https://klasma.github.io/Logging_1982/klagomål/A 9956-2022 FSC-klagomål.docx", "A 9956-2022")</f>
        <v/>
      </c>
      <c r="Z14">
        <f>HYPERLINK("https://klasma.github.io/Logging_1982/klagomålsmail/A 9956-2022 FSC-klagomål mail.docx", "A 9956-2022")</f>
        <v/>
      </c>
      <c r="AA14">
        <f>HYPERLINK("https://klasma.github.io/Logging_1982/tillsyn/A 9956-2022 tillsynsbegäran.docx", "A 9956-2022")</f>
        <v/>
      </c>
      <c r="AB14">
        <f>HYPERLINK("https://klasma.github.io/Logging_1982/tillsynsmail/A 9956-2022 tillsynsbegäran mail.docx", "A 9956-2022")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46221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HYPERLINK("https://klasma.github.io/Logging_1982/artfynd/A 38128-2021 artfynd.xlsx", "A 38128-2021")</f>
        <v/>
      </c>
      <c r="W15">
        <f>HYPERLINK("https://klasma.github.io/Logging_1982/kartor/A 38128-2021 karta.png", "A 38128-2021")</f>
        <v/>
      </c>
      <c r="X15">
        <f>HYPERLINK("https://klasma.github.io/Logging_1982/knärot/A 38128-2021 karta knärot.png", "A 38128-2021")</f>
        <v/>
      </c>
      <c r="Y15">
        <f>HYPERLINK("https://klasma.github.io/Logging_1982/klagomål/A 38128-2021 FSC-klagomål.docx", "A 38128-2021")</f>
        <v/>
      </c>
      <c r="Z15">
        <f>HYPERLINK("https://klasma.github.io/Logging_1982/klagomålsmail/A 38128-2021 FSC-klagomål mail.docx", "A 38128-2021")</f>
        <v/>
      </c>
      <c r="AA15">
        <f>HYPERLINK("https://klasma.github.io/Logging_1982/tillsyn/A 38128-2021 tillsynsbegäran.docx", "A 38128-2021")</f>
        <v/>
      </c>
      <c r="AB15">
        <f>HYPERLINK("https://klasma.github.io/Logging_1982/tillsynsmail/A 38128-2021 tillsynsbegäran mail.docx", "A 38128-2021")</f>
        <v/>
      </c>
    </row>
    <row r="16" ht="15" customHeight="1">
      <c r="A16" t="inlineStr">
        <is>
          <t>A 38127-2021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44405</v>
      </c>
      <c r="E16" s="1" t="n">
        <v>46221</v>
      </c>
      <c r="F16" t="inlineStr">
        <is>
          <t>VÄSTMANLANDS LÄN</t>
        </is>
      </c>
      <c r="G16" t="inlineStr">
        <is>
          <t>FAGERSTA</t>
        </is>
      </c>
      <c r="H16" t="inlineStr">
        <is>
          <t>Sveaskog</t>
        </is>
      </c>
      <c r="I16" t="n">
        <v>2.8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HYPERLINK("https://klasma.github.io/Logging_1982/artfynd/A 38127-2021 artfynd.xlsx", "A 38127-2021")</f>
        <v/>
      </c>
      <c r="W16">
        <f>HYPERLINK("https://klasma.github.io/Logging_1982/kartor/A 38127-2021 karta.png", "A 38127-2021")</f>
        <v/>
      </c>
      <c r="X16">
        <f>HYPERLINK("https://klasma.github.io/Logging_1982/knärot/A 38127-2021 karta knärot.png", "A 38127-2021")</f>
        <v/>
      </c>
      <c r="Y16">
        <f>HYPERLINK("https://klasma.github.io/Logging_1982/klagomål/A 38127-2021 FSC-klagomål.docx", "A 38127-2021")</f>
        <v/>
      </c>
      <c r="Z16">
        <f>HYPERLINK("https://klasma.github.io/Logging_1982/klagomålsmail/A 38127-2021 FSC-klagomål mail.docx", "A 38127-2021")</f>
        <v/>
      </c>
      <c r="AA16">
        <f>HYPERLINK("https://klasma.github.io/Logging_1982/tillsyn/A 38127-2021 tillsynsbegäran.docx", "A 38127-2021")</f>
        <v/>
      </c>
      <c r="AB16">
        <f>HYPERLINK("https://klasma.github.io/Logging_1982/tillsynsmail/A 38127-2021 tillsynsbegäran mail.docx", "A 38127-2021")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46221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Grovticka</t>
        </is>
      </c>
      <c r="V17">
        <f>HYPERLINK("https://klasma.github.io/Logging_1982/artfynd/A 15334-2023 artfynd.xlsx", "A 15334-2023")</f>
        <v/>
      </c>
      <c r="W17">
        <f>HYPERLINK("https://klasma.github.io/Logging_1982/kartor/A 15334-2023 karta.png", "A 15334-2023")</f>
        <v/>
      </c>
      <c r="Y17">
        <f>HYPERLINK("https://klasma.github.io/Logging_1982/klagomål/A 15334-2023 FSC-klagomål.docx", "A 15334-2023")</f>
        <v/>
      </c>
      <c r="Z17">
        <f>HYPERLINK("https://klasma.github.io/Logging_1982/klagomålsmail/A 15334-2023 FSC-klagomål mail.docx", "A 15334-2023")</f>
        <v/>
      </c>
      <c r="AA17">
        <f>HYPERLINK("https://klasma.github.io/Logging_1982/tillsyn/A 15334-2023 tillsynsbegäran.docx", "A 15334-2023")</f>
        <v/>
      </c>
      <c r="AB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46221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Mindre märgborre</t>
        </is>
      </c>
      <c r="V18">
        <f>HYPERLINK("https://klasma.github.io/Logging_1982/artfynd/A 58307-2024 artfynd.xlsx", "A 58307-2024")</f>
        <v/>
      </c>
      <c r="W18">
        <f>HYPERLINK("https://klasma.github.io/Logging_1982/kartor/A 58307-2024 karta.png", "A 58307-2024")</f>
        <v/>
      </c>
      <c r="Y18">
        <f>HYPERLINK("https://klasma.github.io/Logging_1982/klagomål/A 58307-2024 FSC-klagomål.docx", "A 58307-2024")</f>
        <v/>
      </c>
      <c r="Z18">
        <f>HYPERLINK("https://klasma.github.io/Logging_1982/klagomålsmail/A 58307-2024 FSC-klagomål mail.docx", "A 58307-2024")</f>
        <v/>
      </c>
      <c r="AA18">
        <f>HYPERLINK("https://klasma.github.io/Logging_1982/tillsyn/A 58307-2024 tillsynsbegäran.docx", "A 58307-2024")</f>
        <v/>
      </c>
      <c r="AB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46221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Ärtsångare</t>
        </is>
      </c>
      <c r="V19">
        <f>HYPERLINK("https://klasma.github.io/Logging_1982/artfynd/A 50226-2025 artfynd.xlsx", "A 50226-2025")</f>
        <v/>
      </c>
      <c r="W19">
        <f>HYPERLINK("https://klasma.github.io/Logging_1982/kartor/A 50226-2025 karta.png", "A 50226-2025")</f>
        <v/>
      </c>
      <c r="Y19">
        <f>HYPERLINK("https://klasma.github.io/Logging_1982/klagomål/A 50226-2025 FSC-klagomål.docx", "A 50226-2025")</f>
        <v/>
      </c>
      <c r="Z19">
        <f>HYPERLINK("https://klasma.github.io/Logging_1982/klagomålsmail/A 50226-2025 FSC-klagomål mail.docx", "A 50226-2025")</f>
        <v/>
      </c>
      <c r="AA19">
        <f>HYPERLINK("https://klasma.github.io/Logging_1982/tillsyn/A 50226-2025 tillsynsbegäran.docx", "A 50226-2025")</f>
        <v/>
      </c>
      <c r="AB19">
        <f>HYPERLINK("https://klasma.github.io/Logging_1982/tillsynsmail/A 50226-2025 tillsynsbegäran mail.docx", "A 50226-2025")</f>
        <v/>
      </c>
    </row>
    <row r="20" ht="15" customHeight="1">
      <c r="A20" t="inlineStr">
        <is>
          <t>A 3553-2026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46221</v>
      </c>
      <c r="F20" t="inlineStr">
        <is>
          <t>VÄSTMANLANDS LÄN</t>
        </is>
      </c>
      <c r="G20" t="inlineStr">
        <is>
          <t>FAGERSTA</t>
        </is>
      </c>
      <c r="I20" t="n">
        <v>2.5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Rödlånke</t>
        </is>
      </c>
      <c r="V20">
        <f>HYPERLINK("https://klasma.github.io/Logging_1982/artfynd/A 3553-2026 artfynd.xlsx", "A 3553-2026")</f>
        <v/>
      </c>
      <c r="W20">
        <f>HYPERLINK("https://klasma.github.io/Logging_1982/kartor/A 3553-2026 karta.png", "A 3553-2026")</f>
        <v/>
      </c>
      <c r="Y20">
        <f>HYPERLINK("https://klasma.github.io/Logging_1982/klagomål/A 3553-2026 FSC-klagomål.docx", "A 3553-2026")</f>
        <v/>
      </c>
      <c r="Z20">
        <f>HYPERLINK("https://klasma.github.io/Logging_1982/klagomålsmail/A 3553-2026 FSC-klagomål mail.docx", "A 3553-2026")</f>
        <v/>
      </c>
      <c r="AA20">
        <f>HYPERLINK("https://klasma.github.io/Logging_1982/tillsyn/A 3553-2026 tillsynsbegäran.docx", "A 3553-2026")</f>
        <v/>
      </c>
      <c r="AB20">
        <f>HYPERLINK("https://klasma.github.io/Logging_1982/tillsynsmail/A 3553-2026 tillsynsbegäran mail.docx", "A 3553-2026")</f>
        <v/>
      </c>
    </row>
    <row r="21" ht="15" customHeight="1">
      <c r="A21" t="inlineStr">
        <is>
          <t>A 19550-2025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45770</v>
      </c>
      <c r="E21" s="1" t="n">
        <v>46221</v>
      </c>
      <c r="F21" t="inlineStr">
        <is>
          <t>VÄSTMANLANDS LÄN</t>
        </is>
      </c>
      <c r="G21" t="inlineStr">
        <is>
          <t>FAGERSTA</t>
        </is>
      </c>
      <c r="I21" t="n">
        <v>16.4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Fläcknycklar</t>
        </is>
      </c>
      <c r="V21">
        <f>HYPERLINK("https://klasma.github.io/Logging_1982/artfynd/A 19550-2025 artfynd.xlsx", "A 19550-2025")</f>
        <v/>
      </c>
      <c r="W21">
        <f>HYPERLINK("https://klasma.github.io/Logging_1982/kartor/A 19550-2025 karta.png", "A 19550-2025")</f>
        <v/>
      </c>
      <c r="Y21">
        <f>HYPERLINK("https://klasma.github.io/Logging_1982/klagomål/A 19550-2025 FSC-klagomål.docx", "A 19550-2025")</f>
        <v/>
      </c>
      <c r="Z21">
        <f>HYPERLINK("https://klasma.github.io/Logging_1982/klagomålsmail/A 19550-2025 FSC-klagomål mail.docx", "A 19550-2025")</f>
        <v/>
      </c>
      <c r="AA21">
        <f>HYPERLINK("https://klasma.github.io/Logging_1982/tillsyn/A 19550-2025 tillsynsbegäran.docx", "A 19550-2025")</f>
        <v/>
      </c>
      <c r="AB21">
        <f>HYPERLINK("https://klasma.github.io/Logging_1982/tillsynsmail/A 19550-2025 tillsynsbegäran mail.docx", "A 19550-2025")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46221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46221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46221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46221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46221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37602-2021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44399</v>
      </c>
      <c r="E27" s="1" t="n">
        <v>46221</v>
      </c>
      <c r="F27" t="inlineStr">
        <is>
          <t>VÄSTMANLANDS LÄN</t>
        </is>
      </c>
      <c r="G27" t="inlineStr">
        <is>
          <t>FAGERSTA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74423-2021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46221</v>
      </c>
      <c r="F28" t="inlineStr">
        <is>
          <t>VÄSTMANLANDS LÄN</t>
        </is>
      </c>
      <c r="G28" t="inlineStr">
        <is>
          <t>FAGERSTA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44776</v>
      </c>
      <c r="E29" s="1" t="n">
        <v>46221</v>
      </c>
      <c r="F29" t="inlineStr">
        <is>
          <t>VÄSTMANLANDS LÄN</t>
        </is>
      </c>
      <c r="G29" t="inlineStr">
        <is>
          <t>FAGERSTA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46221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46221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29510-2022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46221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29513-2022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46221</v>
      </c>
      <c r="F33" t="inlineStr">
        <is>
          <t>VÄSTMANLANDS LÄN</t>
        </is>
      </c>
      <c r="G33" t="inlineStr">
        <is>
          <t>FAGERSTA</t>
        </is>
      </c>
      <c r="H33" t="inlineStr">
        <is>
          <t>Sveaskog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44710-2022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46221</v>
      </c>
      <c r="F34" t="inlineStr">
        <is>
          <t>VÄSTMANLANDS LÄN</t>
        </is>
      </c>
      <c r="G34" t="inlineStr">
        <is>
          <t>FAGERSTA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46221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25053-2022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44729</v>
      </c>
      <c r="E36" s="1" t="n">
        <v>46221</v>
      </c>
      <c r="F36" t="inlineStr">
        <is>
          <t>VÄSTMANLANDS LÄN</t>
        </is>
      </c>
      <c r="G36" t="inlineStr">
        <is>
          <t>FAGERSTA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25057-2022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44729</v>
      </c>
      <c r="E37" s="1" t="n">
        <v>46221</v>
      </c>
      <c r="F37" t="inlineStr">
        <is>
          <t>VÄSTMANLANDS LÄN</t>
        </is>
      </c>
      <c r="G37" t="inlineStr">
        <is>
          <t>FAGERSTA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46221</v>
      </c>
      <c r="F38" t="inlineStr">
        <is>
          <t>VÄSTMANLANDS LÄN</t>
        </is>
      </c>
      <c r="G38" t="inlineStr">
        <is>
          <t>FAGERSTA</t>
        </is>
      </c>
      <c r="H38" t="inlineStr">
        <is>
          <t>Kommuner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68174-2021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44526</v>
      </c>
      <c r="E39" s="1" t="n">
        <v>46221</v>
      </c>
      <c r="F39" t="inlineStr">
        <is>
          <t>VÄSTMANLANDS LÄN</t>
        </is>
      </c>
      <c r="G39" t="inlineStr">
        <is>
          <t>FAGERSTA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20909-2024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45439</v>
      </c>
      <c r="E40" s="1" t="n">
        <v>46221</v>
      </c>
      <c r="F40" t="inlineStr">
        <is>
          <t>VÄSTMANLANDS LÄN</t>
        </is>
      </c>
      <c r="G40" t="inlineStr">
        <is>
          <t>FAGERSTA</t>
        </is>
      </c>
      <c r="I40" t="n">
        <v>6.9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57855-2023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46221</v>
      </c>
      <c r="F41" t="inlineStr">
        <is>
          <t>VÄSTMANLANDS LÄN</t>
        </is>
      </c>
      <c r="G41" t="inlineStr">
        <is>
          <t>FAGERSTA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62095-2022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44919</v>
      </c>
      <c r="E42" s="1" t="n">
        <v>46221</v>
      </c>
      <c r="F42" t="inlineStr">
        <is>
          <t>VÄSTMANLANDS LÄN</t>
        </is>
      </c>
      <c r="G42" t="inlineStr">
        <is>
          <t>FAGERSTA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48261-2022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46221</v>
      </c>
      <c r="F43" t="inlineStr">
        <is>
          <t>VÄSTMANLANDS LÄN</t>
        </is>
      </c>
      <c r="G43" t="inlineStr">
        <is>
          <t>FAGERSTA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42844-2024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46221</v>
      </c>
      <c r="F44" t="inlineStr">
        <is>
          <t>VÄSTMANLANDS LÄN</t>
        </is>
      </c>
      <c r="G44" t="inlineStr">
        <is>
          <t>FAGERSTA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46221</v>
      </c>
      <c r="F45" t="inlineStr">
        <is>
          <t>VÄSTMANLANDS LÄN</t>
        </is>
      </c>
      <c r="G45" t="inlineStr">
        <is>
          <t>FAGERSTA</t>
        </is>
      </c>
      <c r="H45" t="inlineStr">
        <is>
          <t>Bergvik skog väst AB</t>
        </is>
      </c>
      <c r="I45" t="n">
        <v>22.6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46221</v>
      </c>
      <c r="F46" t="inlineStr">
        <is>
          <t>VÄSTMANLANDS LÄN</t>
        </is>
      </c>
      <c r="G46" t="inlineStr">
        <is>
          <t>FAGERSTA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29075-2025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45821</v>
      </c>
      <c r="E47" s="1" t="n">
        <v>46221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8264-2023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46221</v>
      </c>
      <c r="F48" t="inlineStr">
        <is>
          <t>VÄSTMANLANDS LÄN</t>
        </is>
      </c>
      <c r="G48" t="inlineStr">
        <is>
          <t>FAGERSTA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22482-2023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45071</v>
      </c>
      <c r="E49" s="1" t="n">
        <v>46221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22485-2023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45071</v>
      </c>
      <c r="E50" s="1" t="n">
        <v>46221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32001-2025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46221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33238-2025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46221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33232-2025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45840</v>
      </c>
      <c r="E53" s="1" t="n">
        <v>46221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33236-2025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45840</v>
      </c>
      <c r="E54" s="1" t="n">
        <v>46221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34374-2025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45846</v>
      </c>
      <c r="E55" s="1" t="n">
        <v>46221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28425-2025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46221</v>
      </c>
      <c r="F56" t="inlineStr">
        <is>
          <t>VÄSTMANLANDS LÄN</t>
        </is>
      </c>
      <c r="G56" t="inlineStr">
        <is>
          <t>FAGERSTA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46359-2025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46221</v>
      </c>
      <c r="F57" t="inlineStr">
        <is>
          <t>VÄSTMANLANDS LÄN</t>
        </is>
      </c>
      <c r="G57" t="inlineStr">
        <is>
          <t>FAGERSTA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44998</v>
      </c>
      <c r="E58" s="1" t="n">
        <v>46221</v>
      </c>
      <c r="F58" t="inlineStr">
        <is>
          <t>VÄSTMANLANDS LÄN</t>
        </is>
      </c>
      <c r="G58" t="inlineStr">
        <is>
          <t>FAGERSTA</t>
        </is>
      </c>
      <c r="H58" t="inlineStr">
        <is>
          <t>Övriga Aktiebolag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31231-2024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45503</v>
      </c>
      <c r="E59" s="1" t="n">
        <v>46221</v>
      </c>
      <c r="F59" t="inlineStr">
        <is>
          <t>VÄSTMANLANDS LÄN</t>
        </is>
      </c>
      <c r="G59" t="inlineStr">
        <is>
          <t>FAGERSTA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46221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11660-2023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44994</v>
      </c>
      <c r="E61" s="1" t="n">
        <v>46221</v>
      </c>
      <c r="F61" t="inlineStr">
        <is>
          <t>VÄSTMANLANDS LÄN</t>
        </is>
      </c>
      <c r="G61" t="inlineStr">
        <is>
          <t>FAGERSTA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32249-2022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44781</v>
      </c>
      <c r="E62" s="1" t="n">
        <v>46221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22.9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10820-2025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45722</v>
      </c>
      <c r="E63" s="1" t="n">
        <v>46221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11.5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60374-2025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45995</v>
      </c>
      <c r="E64" s="1" t="n">
        <v>46221</v>
      </c>
      <c r="F64" t="inlineStr">
        <is>
          <t>VÄSTMANLANDS LÄN</t>
        </is>
      </c>
      <c r="G64" t="inlineStr">
        <is>
          <t>FAGERSTA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7380-2025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45705</v>
      </c>
      <c r="E65" s="1" t="n">
        <v>46221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10526-2026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46077</v>
      </c>
      <c r="E66" s="1" t="n">
        <v>46221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26509-2022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46221</v>
      </c>
      <c r="F67" t="inlineStr">
        <is>
          <t>VÄSTMANLANDS LÄN</t>
        </is>
      </c>
      <c r="G67" t="inlineStr">
        <is>
          <t>FAGERSTA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15812-2025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46221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10520-2026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46077</v>
      </c>
      <c r="E69" s="1" t="n">
        <v>46221</v>
      </c>
      <c r="F69" t="inlineStr">
        <is>
          <t>VÄSTMANLANDS LÄN</t>
        </is>
      </c>
      <c r="G69" t="inlineStr">
        <is>
          <t>FAGERSTA</t>
        </is>
      </c>
      <c r="H69" t="inlineStr">
        <is>
          <t>Bergvik skog väst AB</t>
        </is>
      </c>
      <c r="I69" t="n">
        <v>19.5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46221</v>
      </c>
      <c r="F70" t="inlineStr">
        <is>
          <t>VÄSTMANLANDS LÄN</t>
        </is>
      </c>
      <c r="G70" t="inlineStr">
        <is>
          <t>FAGERSTA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55794-2025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45972</v>
      </c>
      <c r="E71" s="1" t="n">
        <v>46221</v>
      </c>
      <c r="F71" t="inlineStr">
        <is>
          <t>VÄSTMANLANDS LÄN</t>
        </is>
      </c>
      <c r="G71" t="inlineStr">
        <is>
          <t>FAGERSTA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10686-2026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46078</v>
      </c>
      <c r="E72" s="1" t="n">
        <v>46221</v>
      </c>
      <c r="F72" t="inlineStr">
        <is>
          <t>VÄSTMANLANDS LÄN</t>
        </is>
      </c>
      <c r="G72" t="inlineStr">
        <is>
          <t>FAGERSTA</t>
        </is>
      </c>
      <c r="H72" t="inlineStr">
        <is>
          <t>Bergvik skog väst AB</t>
        </is>
      </c>
      <c r="I72" t="n">
        <v>18.6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57405-2025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45980</v>
      </c>
      <c r="E73" s="1" t="n">
        <v>46221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13079-2026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46221</v>
      </c>
      <c r="F74" t="inlineStr">
        <is>
          <t>VÄSTMANLANDS LÄN</t>
        </is>
      </c>
      <c r="G74" t="inlineStr">
        <is>
          <t>FAGERSTA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22484-2023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45071</v>
      </c>
      <c r="E75" s="1" t="n">
        <v>46221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32004-2025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45835</v>
      </c>
      <c r="E76" s="1" t="n">
        <v>46221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63305-2025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46010</v>
      </c>
      <c r="E77" s="1" t="n">
        <v>46221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54804-2023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46221</v>
      </c>
      <c r="F78" t="inlineStr">
        <is>
          <t>VÄSTMANLANDS LÄN</t>
        </is>
      </c>
      <c r="G78" t="inlineStr">
        <is>
          <t>FAGERSTA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22323-2024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46221</v>
      </c>
      <c r="F79" t="inlineStr">
        <is>
          <t>VÄSTMANLANDS LÄN</t>
        </is>
      </c>
      <c r="G79" t="inlineStr">
        <is>
          <t>FAGERSTA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22590-2025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46221</v>
      </c>
      <c r="F80" t="inlineStr">
        <is>
          <t>VÄSTMANLANDS LÄN</t>
        </is>
      </c>
      <c r="G80" t="inlineStr">
        <is>
          <t>FAGERSTA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17886-2026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46122</v>
      </c>
      <c r="E81" s="1" t="n">
        <v>46221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56739-2021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46221</v>
      </c>
      <c r="F82" t="inlineStr">
        <is>
          <t>VÄSTMANLANDS LÄN</t>
        </is>
      </c>
      <c r="G82" t="inlineStr">
        <is>
          <t>FAGERSTA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18782-2026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46128</v>
      </c>
      <c r="E83" s="1" t="n">
        <v>46221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18781-2026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46221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8.699999999999999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18783-2026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46128</v>
      </c>
      <c r="E85" s="1" t="n">
        <v>46221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17893-2026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46122</v>
      </c>
      <c r="E86" s="1" t="n">
        <v>46221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33007-2023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45125</v>
      </c>
      <c r="E87" s="1" t="n">
        <v>46221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45627</v>
      </c>
      <c r="E88" s="1" t="n">
        <v>46221</v>
      </c>
      <c r="F88" t="inlineStr">
        <is>
          <t>VÄSTMANLANDS LÄN</t>
        </is>
      </c>
      <c r="G88" t="inlineStr">
        <is>
          <t>FAGERSTA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19707-2026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46134</v>
      </c>
      <c r="E89" s="1" t="n">
        <v>46221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19888-2025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46221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19708-2026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46134</v>
      </c>
      <c r="E91" s="1" t="n">
        <v>46221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19825-2026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46135</v>
      </c>
      <c r="E92" s="1" t="n">
        <v>46221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37955-2023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46221</v>
      </c>
      <c r="F93" t="inlineStr">
        <is>
          <t>VÄSTMANLANDS LÄN</t>
        </is>
      </c>
      <c r="G93" t="inlineStr">
        <is>
          <t>FAGERSTA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58464-2024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46221</v>
      </c>
      <c r="F94" t="inlineStr">
        <is>
          <t>VÄSTMANLANDS LÄN</t>
        </is>
      </c>
      <c r="G94" t="inlineStr">
        <is>
          <t>FAGERSTA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19156-2025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46221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26057-2026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46221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13697-2025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45737</v>
      </c>
      <c r="E97" s="1" t="n">
        <v>46221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20583-2026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46140</v>
      </c>
      <c r="E98" s="1" t="n">
        <v>46221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33357-2023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45128</v>
      </c>
      <c r="E99" s="1" t="n">
        <v>46221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45390-2023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45193</v>
      </c>
      <c r="E100" s="1" t="n">
        <v>46221</v>
      </c>
      <c r="F100" t="inlineStr">
        <is>
          <t>VÄSTMANLANDS LÄN</t>
        </is>
      </c>
      <c r="G100" t="inlineStr">
        <is>
          <t>FAGERSTA</t>
        </is>
      </c>
      <c r="I100" t="n">
        <v>8.4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29073-2025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45821</v>
      </c>
      <c r="E101" s="1" t="n">
        <v>46221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13391-2026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46094</v>
      </c>
      <c r="E102" s="1" t="n">
        <v>46221</v>
      </c>
      <c r="F102" t="inlineStr">
        <is>
          <t>VÄSTMANLANDS LÄN</t>
        </is>
      </c>
      <c r="G102" t="inlineStr">
        <is>
          <t>FAGERSTA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21890-2026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46150</v>
      </c>
      <c r="E103" s="1" t="n">
        <v>46221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21888-2026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46150</v>
      </c>
      <c r="E104" s="1" t="n">
        <v>46221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21889-2026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46221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21892-2026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46221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21891-2026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46221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56698-2024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45627</v>
      </c>
      <c r="E108" s="1" t="n">
        <v>46221</v>
      </c>
      <c r="F108" t="inlineStr">
        <is>
          <t>VÄSTMANLANDS LÄN</t>
        </is>
      </c>
      <c r="G108" t="inlineStr">
        <is>
          <t>FAGERSTA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63480-2023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45274</v>
      </c>
      <c r="E109" s="1" t="n">
        <v>46221</v>
      </c>
      <c r="F109" t="inlineStr">
        <is>
          <t>VÄSTMANLANDS LÄN</t>
        </is>
      </c>
      <c r="G109" t="inlineStr">
        <is>
          <t>FAGERSTA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44953</v>
      </c>
      <c r="E110" s="1" t="n">
        <v>46221</v>
      </c>
      <c r="F110" t="inlineStr">
        <is>
          <t>VÄSTMANLANDS LÄN</t>
        </is>
      </c>
      <c r="G110" t="inlineStr">
        <is>
          <t>FAGERSTA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41644-2025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45902</v>
      </c>
      <c r="E111" s="1" t="n">
        <v>46221</v>
      </c>
      <c r="F111" t="inlineStr">
        <is>
          <t>VÄSTMANLANDS LÄN</t>
        </is>
      </c>
      <c r="G111" t="inlineStr">
        <is>
          <t>FAGERSTA</t>
        </is>
      </c>
      <c r="H111" t="inlineStr">
        <is>
          <t>Kommuner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30630-2023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46221</v>
      </c>
      <c r="F112" t="inlineStr">
        <is>
          <t>VÄSTMANLANDS LÄN</t>
        </is>
      </c>
      <c r="G112" t="inlineStr">
        <is>
          <t>FAGERSTA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23646-2026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46164</v>
      </c>
      <c r="E113" s="1" t="n">
        <v>46221</v>
      </c>
      <c r="F113" t="inlineStr">
        <is>
          <t>VÄSTMANLANDS LÄN</t>
        </is>
      </c>
      <c r="G113" t="inlineStr">
        <is>
          <t>FAGERSTA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56699-2024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45627</v>
      </c>
      <c r="E114" s="1" t="n">
        <v>46221</v>
      </c>
      <c r="F114" t="inlineStr">
        <is>
          <t>VÄSTMANLANDS LÄN</t>
        </is>
      </c>
      <c r="G114" t="inlineStr">
        <is>
          <t>FAGERSTA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31014-2026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46213</v>
      </c>
      <c r="E115" s="1" t="n">
        <v>46221</v>
      </c>
      <c r="F115" t="inlineStr">
        <is>
          <t>VÄSTMANLANDS LÄN</t>
        </is>
      </c>
      <c r="G115" t="inlineStr">
        <is>
          <t>FAGERSTA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51586-2023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46221</v>
      </c>
      <c r="F116" t="inlineStr">
        <is>
          <t>VÄSTMANLANDS LÄN</t>
        </is>
      </c>
      <c r="G116" t="inlineStr">
        <is>
          <t>FAGERSTA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45762</v>
      </c>
      <c r="E117" s="1" t="n">
        <v>46221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19213-2025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46221</v>
      </c>
      <c r="F118" t="inlineStr">
        <is>
          <t>VÄSTMANLANDS LÄN</t>
        </is>
      </c>
      <c r="G118" t="inlineStr">
        <is>
          <t>FAGERSTA</t>
        </is>
      </c>
      <c r="H118" t="inlineStr">
        <is>
          <t>Övriga Aktiebolag</t>
        </is>
      </c>
      <c r="I118" t="n">
        <v>14.6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19153-2025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46221</v>
      </c>
      <c r="F119" t="inlineStr">
        <is>
          <t>VÄSTMANLANDS LÄN</t>
        </is>
      </c>
      <c r="G119" t="inlineStr">
        <is>
          <t>FAGERSTA</t>
        </is>
      </c>
      <c r="I119" t="n">
        <v>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58310-2024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46221</v>
      </c>
      <c r="F120" t="inlineStr">
        <is>
          <t>VÄSTMANLANDS LÄN</t>
        </is>
      </c>
      <c r="G120" t="inlineStr">
        <is>
          <t>FAGERSTA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46221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44998</v>
      </c>
      <c r="E122" s="1" t="n">
        <v>46221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46221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22117-2025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46221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56704-2024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46221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46221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46221</v>
      </c>
      <c r="F127" t="inlineStr">
        <is>
          <t>VÄSTMANLANDS LÄN</t>
        </is>
      </c>
      <c r="G127" t="inlineStr">
        <is>
          <t>FAGERSTA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46221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46221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46221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46221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46221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46221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46221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2026-07-18T01:23:59Z</dcterms:created>
  <dcterms:modified xmlns:dcterms="http://purl.org/dc/terms/" xmlns:xsi="http://www.w3.org/2001/XMLSchema-instance" xsi:type="dcterms:W3CDTF">2026-07-18T01:23:59Z</dcterms:modified>
</cp:coreProperties>
</file>