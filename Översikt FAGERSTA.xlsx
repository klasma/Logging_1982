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46224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46224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46224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46224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46224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46224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46224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46224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46224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46224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46224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46224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46224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46224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HYPERLINK("https://klasma.github.io/Logging_1982/artfynd/A 38128-2021 artfynd.xlsx", "A 38128-2021")</f>
        <v/>
      </c>
      <c r="X15">
        <f>HYPERLINK("https://klasma.github.io/Logging_1982/kartor/A 38128-2021 karta.png", "A 38128-2021")</f>
        <v/>
      </c>
      <c r="Y15">
        <f>HYPERLINK("https://klasma.github.io/Logging_1982/kartor_geotiff/A 38128-2021 georefererad karta.tif", "A 38128-2021")</f>
        <v/>
      </c>
      <c r="Z15">
        <f>HYPERLINK("https://klasma.github.io/Logging_1982/knärot/A 38128-2021 karta knärot.png", "A 38128-2021")</f>
        <v/>
      </c>
      <c r="AA15">
        <f>HYPERLINK("https://klasma.github.io/Logging_1982/klagomål/A 38128-2021 FSC-klagomål.docx", "A 38128-2021")</f>
        <v/>
      </c>
      <c r="AB15">
        <f>HYPERLINK("https://klasma.github.io/Logging_1982/klagomålsmail/A 38128-2021 FSC-klagomål mail.docx", "A 38128-2021")</f>
        <v/>
      </c>
      <c r="AC15">
        <f>HYPERLINK("https://klasma.github.io/Logging_1982/tillsyn/A 38128-2021 tillsynsbegäran.docx", "A 38128-2021")</f>
        <v/>
      </c>
      <c r="AD15">
        <f>HYPERLINK("https://klasma.github.io/Logging_1982/tillsynsmail/A 38128-2021 tillsynsbegäran mail.docx", "A 38128-2021")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46224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46224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46224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46224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38127-2021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44405</v>
      </c>
      <c r="E20" s="1" t="n">
        <v>46224</v>
      </c>
      <c r="F20" t="inlineStr">
        <is>
          <t>VÄSTMANLANDS LÄN</t>
        </is>
      </c>
      <c r="G20" t="inlineStr">
        <is>
          <t>FAGERSTA</t>
        </is>
      </c>
      <c r="H20" t="inlineStr">
        <is>
          <t>Sveaskog</t>
        </is>
      </c>
      <c r="I20" t="n">
        <v>2.8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HYPERLINK("https://klasma.github.io/Logging_1982/artfynd/A 38127-2021 artfynd.xlsx", "A 38127-2021")</f>
        <v/>
      </c>
      <c r="X20">
        <f>HYPERLINK("https://klasma.github.io/Logging_1982/kartor/A 38127-2021 karta.png", "A 38127-2021")</f>
        <v/>
      </c>
      <c r="Y20">
        <f>HYPERLINK("https://klasma.github.io/Logging_1982/kartor_geotiff/A 38127-2021 georefererad karta.tif", "A 38127-2021")</f>
        <v/>
      </c>
      <c r="Z20">
        <f>HYPERLINK("https://klasma.github.io/Logging_1982/knärot/A 38127-2021 karta knärot.png", "A 38127-2021")</f>
        <v/>
      </c>
      <c r="AA20">
        <f>HYPERLINK("https://klasma.github.io/Logging_1982/klagomål/A 38127-2021 FSC-klagomål.docx", "A 38127-2021")</f>
        <v/>
      </c>
      <c r="AB20">
        <f>HYPERLINK("https://klasma.github.io/Logging_1982/klagomålsmail/A 38127-2021 FSC-klagomål mail.docx", "A 38127-2021")</f>
        <v/>
      </c>
      <c r="AC20">
        <f>HYPERLINK("https://klasma.github.io/Logging_1982/tillsyn/A 38127-2021 tillsynsbegäran.docx", "A 38127-2021")</f>
        <v/>
      </c>
      <c r="AD20">
        <f>HYPERLINK("https://klasma.github.io/Logging_1982/tillsynsmail/A 38127-2021 tillsynsbegäran mail.docx", "A 38127-2021")</f>
        <v/>
      </c>
    </row>
    <row r="21" ht="15" customHeight="1">
      <c r="A21" t="inlineStr">
        <is>
          <t>A 58307-2024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46224</v>
      </c>
      <c r="F21" t="inlineStr">
        <is>
          <t>VÄSTMANLANDS LÄN</t>
        </is>
      </c>
      <c r="G21" t="inlineStr">
        <is>
          <t>FAGERSTA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märgborre</t>
        </is>
      </c>
      <c r="W21">
        <f>HYPERLINK("https://klasma.github.io/Logging_1982/artfynd/A 58307-2024 artfynd.xlsx", "A 58307-2024")</f>
        <v/>
      </c>
      <c r="X21">
        <f>HYPERLINK("https://klasma.github.io/Logging_1982/kartor/A 58307-2024 karta.png", "A 58307-2024")</f>
        <v/>
      </c>
      <c r="Y21">
        <f>HYPERLINK("https://klasma.github.io/Logging_1982/kartor_geotiff/A 58307-2024 georefererad karta.tif", "A 58307-2024")</f>
        <v/>
      </c>
      <c r="AA21">
        <f>HYPERLINK("https://klasma.github.io/Logging_1982/klagomål/A 58307-2024 FSC-klagomål.docx", "A 58307-2024")</f>
        <v/>
      </c>
      <c r="AB21">
        <f>HYPERLINK("https://klasma.github.io/Logging_1982/klagomålsmail/A 58307-2024 FSC-klagomål mail.docx", "A 58307-2024")</f>
        <v/>
      </c>
      <c r="AC21">
        <f>HYPERLINK("https://klasma.github.io/Logging_1982/tillsyn/A 58307-2024 tillsynsbegäran.docx", "A 58307-2024")</f>
        <v/>
      </c>
      <c r="AD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46224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46224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46224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46224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46224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46224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46224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46224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46224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46224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46224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46224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46224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46224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44729</v>
      </c>
      <c r="E36" s="1" t="n">
        <v>46224</v>
      </c>
      <c r="F36" t="inlineStr">
        <is>
          <t>VÄSTMANLANDS LÄN</t>
        </is>
      </c>
      <c r="G36" t="inlineStr">
        <is>
          <t>FAGERSTA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46224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25057-2022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44729</v>
      </c>
      <c r="E38" s="1" t="n">
        <v>46224</v>
      </c>
      <c r="F38" t="inlineStr">
        <is>
          <t>VÄSTMANLANDS LÄN</t>
        </is>
      </c>
      <c r="G38" t="inlineStr">
        <is>
          <t>FAGERSTA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46224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54804-2023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46224</v>
      </c>
      <c r="F40" t="inlineStr">
        <is>
          <t>VÄSTMANLANDS LÄN</t>
        </is>
      </c>
      <c r="G40" t="inlineStr">
        <is>
          <t>FAGERSTA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46224</v>
      </c>
      <c r="F41" t="inlineStr">
        <is>
          <t>VÄSTMANLANDS LÄN</t>
        </is>
      </c>
      <c r="G41" t="inlineStr">
        <is>
          <t>FAGERSTA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46224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46224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56694-2024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45627</v>
      </c>
      <c r="E44" s="1" t="n">
        <v>46224</v>
      </c>
      <c r="F44" t="inlineStr">
        <is>
          <t>VÄSTMANLANDS LÄN</t>
        </is>
      </c>
      <c r="G44" t="inlineStr">
        <is>
          <t>FAGERSTA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46224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58594-2024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45635</v>
      </c>
      <c r="E46" s="1" t="n">
        <v>46224</v>
      </c>
      <c r="F46" t="inlineStr">
        <is>
          <t>VÄSTMANLANDS LÄN</t>
        </is>
      </c>
      <c r="G46" t="inlineStr">
        <is>
          <t>FAGERSTA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45128</v>
      </c>
      <c r="E47" s="1" t="n">
        <v>46224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39157-2024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46224</v>
      </c>
      <c r="F48" t="inlineStr">
        <is>
          <t>VÄSTMANLANDS LÄN</t>
        </is>
      </c>
      <c r="G48" t="inlineStr">
        <is>
          <t>FAGERSTA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63305-2025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46010</v>
      </c>
      <c r="E49" s="1" t="n">
        <v>46224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46224</v>
      </c>
      <c r="F50" t="inlineStr">
        <is>
          <t>VÄSTMANLANDS LÄN</t>
        </is>
      </c>
      <c r="G50" t="inlineStr">
        <is>
          <t>FAGERSTA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26652-2025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46224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22.6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46224</v>
      </c>
      <c r="F52" t="inlineStr">
        <is>
          <t>VÄSTMANLANDS LÄN</t>
        </is>
      </c>
      <c r="G52" t="inlineStr">
        <is>
          <t>FAGERSTA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46224</v>
      </c>
      <c r="F53" t="inlineStr">
        <is>
          <t>VÄSTMANLANDS LÄN</t>
        </is>
      </c>
      <c r="G53" t="inlineStr">
        <is>
          <t>FAGERSTA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29075-2025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45821</v>
      </c>
      <c r="E54" s="1" t="n">
        <v>46224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45925</v>
      </c>
      <c r="E55" s="1" t="n">
        <v>46224</v>
      </c>
      <c r="F55" t="inlineStr">
        <is>
          <t>VÄSTMANLANDS LÄN</t>
        </is>
      </c>
      <c r="G55" t="inlineStr">
        <is>
          <t>FAGERSTA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32001-2025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46224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33236-2025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45840</v>
      </c>
      <c r="E57" s="1" t="n">
        <v>46224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22323-2024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46224</v>
      </c>
      <c r="F58" t="inlineStr">
        <is>
          <t>VÄSTMANLANDS LÄN</t>
        </is>
      </c>
      <c r="G58" t="inlineStr">
        <is>
          <t>FAGERSTA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33232-2025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45840</v>
      </c>
      <c r="E59" s="1" t="n">
        <v>46224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33238-2025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45840</v>
      </c>
      <c r="E60" s="1" t="n">
        <v>46224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34374-2025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45846</v>
      </c>
      <c r="E61" s="1" t="n">
        <v>46224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45819</v>
      </c>
      <c r="E62" s="1" t="n">
        <v>46224</v>
      </c>
      <c r="F62" t="inlineStr">
        <is>
          <t>VÄSTMANLANDS LÄN</t>
        </is>
      </c>
      <c r="G62" t="inlineStr">
        <is>
          <t>FAGERSTA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42844-2024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46224</v>
      </c>
      <c r="F63" t="inlineStr">
        <is>
          <t>VÄSTMANLANDS LÄN</t>
        </is>
      </c>
      <c r="G63" t="inlineStr">
        <is>
          <t>FAGERSTA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45635</v>
      </c>
      <c r="E64" s="1" t="n">
        <v>46224</v>
      </c>
      <c r="F64" t="inlineStr">
        <is>
          <t>VÄSTMANLANDS LÄN</t>
        </is>
      </c>
      <c r="G64" t="inlineStr">
        <is>
          <t>FAGERSTA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44919</v>
      </c>
      <c r="E65" s="1" t="n">
        <v>46224</v>
      </c>
      <c r="F65" t="inlineStr">
        <is>
          <t>VÄSTMANLANDS LÄN</t>
        </is>
      </c>
      <c r="G65" t="inlineStr">
        <is>
          <t>FAGERSTA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55794-2025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45972</v>
      </c>
      <c r="E66" s="1" t="n">
        <v>46224</v>
      </c>
      <c r="F66" t="inlineStr">
        <is>
          <t>VÄSTMANLANDS LÄN</t>
        </is>
      </c>
      <c r="G66" t="inlineStr">
        <is>
          <t>FAGERSTA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57405-2025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45980</v>
      </c>
      <c r="E67" s="1" t="n">
        <v>46224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46224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30630-2023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46224</v>
      </c>
      <c r="F69" t="inlineStr">
        <is>
          <t>VÄSTMANLANDS LÄN</t>
        </is>
      </c>
      <c r="G69" t="inlineStr">
        <is>
          <t>FAGERSTA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44994</v>
      </c>
      <c r="E70" s="1" t="n">
        <v>46224</v>
      </c>
      <c r="F70" t="inlineStr">
        <is>
          <t>VÄSTMANLANDS LÄN</t>
        </is>
      </c>
      <c r="G70" t="inlineStr">
        <is>
          <t>FAGERSTA</t>
        </is>
      </c>
      <c r="H70" t="inlineStr">
        <is>
          <t>Kommuner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44781</v>
      </c>
      <c r="E71" s="1" t="n">
        <v>46224</v>
      </c>
      <c r="F71" t="inlineStr">
        <is>
          <t>VÄSTMANLANDS LÄN</t>
        </is>
      </c>
      <c r="G71" t="inlineStr">
        <is>
          <t>FAGERSTA</t>
        </is>
      </c>
      <c r="H71" t="inlineStr">
        <is>
          <t>Kommuner</t>
        </is>
      </c>
      <c r="I71" t="n">
        <v>22.9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46224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45222</v>
      </c>
      <c r="E73" s="1" t="n">
        <v>46224</v>
      </c>
      <c r="F73" t="inlineStr">
        <is>
          <t>VÄSTMANLANDS LÄN</t>
        </is>
      </c>
      <c r="G73" t="inlineStr">
        <is>
          <t>FAGERSTA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60374-2025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45995</v>
      </c>
      <c r="E74" s="1" t="n">
        <v>46224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10520-2026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46077</v>
      </c>
      <c r="E75" s="1" t="n">
        <v>46224</v>
      </c>
      <c r="F75" t="inlineStr">
        <is>
          <t>VÄSTMANLANDS LÄN</t>
        </is>
      </c>
      <c r="G75" t="inlineStr">
        <is>
          <t>FAGERSTA</t>
        </is>
      </c>
      <c r="H75" t="inlineStr">
        <is>
          <t>Bergvik skog väst AB</t>
        </is>
      </c>
      <c r="I75" t="n">
        <v>19.5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46078</v>
      </c>
      <c r="E76" s="1" t="n">
        <v>46224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18.6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10526-2026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46077</v>
      </c>
      <c r="E77" s="1" t="n">
        <v>46224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45247</v>
      </c>
      <c r="E78" s="1" t="n">
        <v>46224</v>
      </c>
      <c r="F78" t="inlineStr">
        <is>
          <t>VÄSTMANLANDS LÄN</t>
        </is>
      </c>
      <c r="G78" t="inlineStr">
        <is>
          <t>FAGERSTA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13079-2026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46224</v>
      </c>
      <c r="F79" t="inlineStr">
        <is>
          <t>VÄSTMANLANDS LÄN</t>
        </is>
      </c>
      <c r="G79" t="inlineStr">
        <is>
          <t>FAGERSTA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45274</v>
      </c>
      <c r="E80" s="1" t="n">
        <v>46224</v>
      </c>
      <c r="F80" t="inlineStr">
        <is>
          <t>VÄSTMANLANDS LÄN</t>
        </is>
      </c>
      <c r="G80" t="inlineStr">
        <is>
          <t>FAGERSTA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45627</v>
      </c>
      <c r="E81" s="1" t="n">
        <v>46224</v>
      </c>
      <c r="F81" t="inlineStr">
        <is>
          <t>VÄSTMANLANDS LÄN</t>
        </is>
      </c>
      <c r="G81" t="inlineStr">
        <is>
          <t>FAGERSTA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17886-2026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46122</v>
      </c>
      <c r="E82" s="1" t="n">
        <v>46224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46122</v>
      </c>
      <c r="E83" s="1" t="n">
        <v>46224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18782-2026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46224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18781-2026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46128</v>
      </c>
      <c r="E85" s="1" t="n">
        <v>46224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8.699999999999999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18783-2026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46128</v>
      </c>
      <c r="E86" s="1" t="n">
        <v>46224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46134</v>
      </c>
      <c r="E87" s="1" t="n">
        <v>46224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19825-2026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46135</v>
      </c>
      <c r="E88" s="1" t="n">
        <v>46224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46134</v>
      </c>
      <c r="E89" s="1" t="n">
        <v>46224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7380-2025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45705</v>
      </c>
      <c r="E90" s="1" t="n">
        <v>46224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10820-2025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45722</v>
      </c>
      <c r="E91" s="1" t="n">
        <v>46224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56739-2021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46224</v>
      </c>
      <c r="F92" t="inlineStr">
        <is>
          <t>VÄSTMANLANDS LÄN</t>
        </is>
      </c>
      <c r="G92" t="inlineStr">
        <is>
          <t>FAGERSTA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13697-2025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45737</v>
      </c>
      <c r="E93" s="1" t="n">
        <v>46224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46224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46224</v>
      </c>
      <c r="F95" t="inlineStr">
        <is>
          <t>VÄSTMANLANDS LÄN</t>
        </is>
      </c>
      <c r="G95" t="inlineStr">
        <is>
          <t>FAGERSTA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45821</v>
      </c>
      <c r="E96" s="1" t="n">
        <v>46224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20583-2026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46140</v>
      </c>
      <c r="E97" s="1" t="n">
        <v>46224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45442</v>
      </c>
      <c r="E98" s="1" t="n">
        <v>46224</v>
      </c>
      <c r="F98" t="inlineStr">
        <is>
          <t>VÄSTMANLANDS LÄN</t>
        </is>
      </c>
      <c r="G98" t="inlineStr">
        <is>
          <t>FAGERSTA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44953</v>
      </c>
      <c r="E99" s="1" t="n">
        <v>46224</v>
      </c>
      <c r="F99" t="inlineStr">
        <is>
          <t>VÄSTMANLANDS LÄN</t>
        </is>
      </c>
      <c r="G99" t="inlineStr">
        <is>
          <t>FAGERSTA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13391-2026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46224</v>
      </c>
      <c r="F100" t="inlineStr">
        <is>
          <t>VÄSTMANLANDS LÄN</t>
        </is>
      </c>
      <c r="G100" t="inlineStr">
        <is>
          <t>FAGERSTA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18463-2025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45762</v>
      </c>
      <c r="E101" s="1" t="n">
        <v>46224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46224</v>
      </c>
      <c r="F102" t="inlineStr">
        <is>
          <t>VÄSTMANLANDS LÄN</t>
        </is>
      </c>
      <c r="G102" t="inlineStr">
        <is>
          <t>FAGERSTA</t>
        </is>
      </c>
      <c r="H102" t="inlineStr">
        <is>
          <t>Övriga Aktiebolag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45160</v>
      </c>
      <c r="E103" s="1" t="n">
        <v>46224</v>
      </c>
      <c r="F103" t="inlineStr">
        <is>
          <t>VÄSTMANLANDS LÄN</t>
        </is>
      </c>
      <c r="G103" t="inlineStr">
        <is>
          <t>FAGERSTA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15812-2025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46224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46224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46224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21890-2026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46224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46224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46224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46224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41644-2025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45902</v>
      </c>
      <c r="E111" s="1" t="n">
        <v>46224</v>
      </c>
      <c r="F111" t="inlineStr">
        <is>
          <t>VÄSTMANLANDS LÄN</t>
        </is>
      </c>
      <c r="G111" t="inlineStr">
        <is>
          <t>FAGERSTA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46224</v>
      </c>
      <c r="F112" t="inlineStr">
        <is>
          <t>VÄSTMANLANDS LÄN</t>
        </is>
      </c>
      <c r="G112" t="inlineStr">
        <is>
          <t>FAGERSTA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46224</v>
      </c>
      <c r="F113" t="inlineStr">
        <is>
          <t>VÄSTMANLANDS LÄN</t>
        </is>
      </c>
      <c r="G113" t="inlineStr">
        <is>
          <t>FAGERSTA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46224</v>
      </c>
      <c r="F114" t="inlineStr">
        <is>
          <t>VÄSTMANLANDS LÄN</t>
        </is>
      </c>
      <c r="G114" t="inlineStr">
        <is>
          <t>FAGERSTA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45390-2023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45193</v>
      </c>
      <c r="E115" s="1" t="n">
        <v>46224</v>
      </c>
      <c r="F115" t="inlineStr">
        <is>
          <t>VÄSTMANLANDS LÄN</t>
        </is>
      </c>
      <c r="G115" t="inlineStr">
        <is>
          <t>FAGERSTA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46164</v>
      </c>
      <c r="E116" s="1" t="n">
        <v>46224</v>
      </c>
      <c r="F116" t="inlineStr">
        <is>
          <t>VÄSTMANLANDS LÄN</t>
        </is>
      </c>
      <c r="G116" t="inlineStr">
        <is>
          <t>FAGERSTA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46224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14.6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45125</v>
      </c>
      <c r="E118" s="1" t="n">
        <v>46224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46213</v>
      </c>
      <c r="E119" s="1" t="n">
        <v>46224</v>
      </c>
      <c r="F119" t="inlineStr">
        <is>
          <t>VÄSTMANLANDS LÄN</t>
        </is>
      </c>
      <c r="G119" t="inlineStr">
        <is>
          <t>FAGERSTA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44974</v>
      </c>
      <c r="E120" s="1" t="n">
        <v>46224</v>
      </c>
      <c r="F120" t="inlineStr">
        <is>
          <t>VÄSTMANLANDS LÄN</t>
        </is>
      </c>
      <c r="G120" t="inlineStr">
        <is>
          <t>FAGERSTA</t>
        </is>
      </c>
      <c r="I120" t="n">
        <v>8.5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31482-2026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46223</v>
      </c>
      <c r="E121" s="1" t="n">
        <v>46224</v>
      </c>
      <c r="F121" t="inlineStr">
        <is>
          <t>VÄSTMANLANDS LÄN</t>
        </is>
      </c>
      <c r="G121" t="inlineStr">
        <is>
          <t>FAGERSTA</t>
        </is>
      </c>
      <c r="H121" t="inlineStr">
        <is>
          <t>Övriga Aktiebolag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46224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45632</v>
      </c>
      <c r="E123" s="1" t="n">
        <v>46224</v>
      </c>
      <c r="F123" t="inlineStr">
        <is>
          <t>VÄSTMANLANDS LÄN</t>
        </is>
      </c>
      <c r="G123" t="inlineStr">
        <is>
          <t>FAGERSTA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46224</v>
      </c>
      <c r="F124" t="inlineStr">
        <is>
          <t>VÄSTMANLANDS LÄN</t>
        </is>
      </c>
      <c r="G124" t="inlineStr">
        <is>
          <t>FAGERSTA</t>
        </is>
      </c>
      <c r="H124" t="inlineStr">
        <is>
          <t>Övriga Aktiebolag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44764</v>
      </c>
      <c r="E125" s="1" t="n">
        <v>46224</v>
      </c>
      <c r="F125" t="inlineStr">
        <is>
          <t>VÄSTMANLANDS LÄN</t>
        </is>
      </c>
      <c r="G125" t="inlineStr">
        <is>
          <t>FAGERSTA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45785</v>
      </c>
      <c r="E126" s="1" t="n">
        <v>46224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46224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56704-2024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45627</v>
      </c>
      <c r="E128" s="1" t="n">
        <v>46224</v>
      </c>
      <c r="F128" t="inlineStr">
        <is>
          <t>VÄSTMANLANDS LÄN</t>
        </is>
      </c>
      <c r="G128" t="inlineStr">
        <is>
          <t>FAGERSTA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2078-2025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46224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2080-2025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46224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2079-2025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45840</v>
      </c>
      <c r="E131" s="1" t="n">
        <v>46224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2121-2025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45846</v>
      </c>
      <c r="E132" s="1" t="n">
        <v>46224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3554-2025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46010</v>
      </c>
      <c r="E133" s="1" t="n">
        <v>46224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1073-2026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46128</v>
      </c>
      <c r="E134" s="1" t="n">
        <v>46224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1143-2026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46135</v>
      </c>
      <c r="E135" s="1" t="n">
        <v>46224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2026-07-21T01:39:58Z</dcterms:created>
  <dcterms:modified xmlns:dcterms="http://purl.org/dc/terms/" xmlns:xsi="http://www.w3.org/2001/XMLSchema-instance" xsi:type="dcterms:W3CDTF">2026-07-21T01:39:58Z</dcterms:modified>
</cp:coreProperties>
</file>