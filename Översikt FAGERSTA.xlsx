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45893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45893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45893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45893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45893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45893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15334-2023</t>
        </is>
      </c>
      <c r="B8" s="1" t="n">
        <v>45019</v>
      </c>
      <c r="C8" s="1" t="n">
        <v>45893</v>
      </c>
      <c r="D8" t="inlineStr">
        <is>
          <t>VÄSTMANLANDS LÄN</t>
        </is>
      </c>
      <c r="E8" t="inlineStr">
        <is>
          <t>FAGERSTA</t>
        </is>
      </c>
      <c r="F8" t="inlineStr">
        <is>
          <t>Övriga Aktiebolag</t>
        </is>
      </c>
      <c r="G8" t="n">
        <v>27.3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Grovticka</t>
        </is>
      </c>
      <c r="S8">
        <f>HYPERLINK("https://klasma.github.io/Logging_1982/artfynd/A 15334-2023 artfynd.xlsx", "A 15334-2023")</f>
        <v/>
      </c>
      <c r="T8">
        <f>HYPERLINK("https://klasma.github.io/Logging_1982/kartor/A 15334-2023 karta.png", "A 15334-2023")</f>
        <v/>
      </c>
      <c r="V8">
        <f>HYPERLINK("https://klasma.github.io/Logging_1982/klagomål/A 15334-2023 FSC-klagomål.docx", "A 15334-2023")</f>
        <v/>
      </c>
      <c r="W8">
        <f>HYPERLINK("https://klasma.github.io/Logging_1982/klagomålsmail/A 15334-2023 FSC-klagomål mail.docx", "A 15334-2023")</f>
        <v/>
      </c>
      <c r="X8">
        <f>HYPERLINK("https://klasma.github.io/Logging_1982/tillsyn/A 15334-2023 tillsynsbegäran.docx", "A 15334-2023")</f>
        <v/>
      </c>
      <c r="Y8">
        <f>HYPERLINK("https://klasma.github.io/Logging_1982/tillsynsmail/A 15334-2023 tillsynsbegäran mail.docx", "A 15334-2023")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45893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17613-2025</t>
        </is>
      </c>
      <c r="B10" s="1" t="n">
        <v>45757.798125</v>
      </c>
      <c r="C10" s="1" t="n">
        <v>45893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HYPERLINK("https://klasma.github.io/Logging_1982/artfynd/A 17613-2025 artfynd.xlsx", "A 17613-2025")</f>
        <v/>
      </c>
      <c r="T10">
        <f>HYPERLINK("https://klasma.github.io/Logging_1982/kartor/A 17613-2025 karta.png", "A 17613-2025")</f>
        <v/>
      </c>
      <c r="V10">
        <f>HYPERLINK("https://klasma.github.io/Logging_1982/klagomål/A 17613-2025 FSC-klagomål.docx", "A 17613-2025")</f>
        <v/>
      </c>
      <c r="W10">
        <f>HYPERLINK("https://klasma.github.io/Logging_1982/klagomålsmail/A 17613-2025 FSC-klagomål mail.docx", "A 17613-2025")</f>
        <v/>
      </c>
      <c r="X10">
        <f>HYPERLINK("https://klasma.github.io/Logging_1982/tillsyn/A 17613-2025 tillsynsbegäran.docx", "A 17613-2025")</f>
        <v/>
      </c>
      <c r="Y10">
        <f>HYPERLINK("https://klasma.github.io/Logging_1982/tillsynsmail/A 17613-2025 tillsynsbegäran mail.docx", "A 17613-2025")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45893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45893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45893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45893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45893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45893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45893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45893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45893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45893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45893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45893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45893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45893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45893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45893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45893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45893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45893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45893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45893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45893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45893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45893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45893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45893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45893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45893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45893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45893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45893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45893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45893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45893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38128-2021</t>
        </is>
      </c>
      <c r="B45" s="1" t="n">
        <v>44405.37</v>
      </c>
      <c r="C45" s="1" t="n">
        <v>45893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  <c r="U45">
        <f>HYPERLINK("https://klasma.github.io/Logging_1982/knärot/A 38128-2021 karta knärot.png", "A 38128-2021")</f>
        <v/>
      </c>
      <c r="V45">
        <f>HYPERLINK("https://klasma.github.io/Logging_1982/klagomål/A 38128-2021 FSC-klagomål.docx", "A 38128-2021")</f>
        <v/>
      </c>
      <c r="W45">
        <f>HYPERLINK("https://klasma.github.io/Logging_1982/klagomålsmail/A 38128-2021 FSC-klagomål mail.docx", "A 38128-2021")</f>
        <v/>
      </c>
      <c r="X45">
        <f>HYPERLINK("https://klasma.github.io/Logging_1982/tillsyn/A 38128-2021 tillsynsbegäran.docx", "A 38128-2021")</f>
        <v/>
      </c>
      <c r="Y45">
        <f>HYPERLINK("https://klasma.github.io/Logging_1982/tillsynsmail/A 38128-2021 tillsynsbegäran mail.docx", "A 38128-2021")</f>
        <v/>
      </c>
    </row>
    <row r="46" ht="15" customHeight="1">
      <c r="A46" t="inlineStr">
        <is>
          <t>A 29510-2022</t>
        </is>
      </c>
      <c r="B46" s="1" t="n">
        <v>44753</v>
      </c>
      <c r="C46" s="1" t="n">
        <v>45893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29513-2022</t>
        </is>
      </c>
      <c r="B47" s="1" t="n">
        <v>44753</v>
      </c>
      <c r="C47" s="1" t="n">
        <v>45893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45893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45893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4486-2025</t>
        </is>
      </c>
      <c r="B50" s="1" t="n">
        <v>45686</v>
      </c>
      <c r="C50" s="1" t="n">
        <v>45893</v>
      </c>
      <c r="D50" t="inlineStr">
        <is>
          <t>VÄSTMANLANDS LÄN</t>
        </is>
      </c>
      <c r="E50" t="inlineStr">
        <is>
          <t>FAGERSTA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63480-2023</t>
        </is>
      </c>
      <c r="B51" s="1" t="n">
        <v>45274</v>
      </c>
      <c r="C51" s="1" t="n">
        <v>45893</v>
      </c>
      <c r="D51" t="inlineStr">
        <is>
          <t>VÄSTMANLANDS LÄN</t>
        </is>
      </c>
      <c r="E51" t="inlineStr">
        <is>
          <t>FAGERSTA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56694-2024</t>
        </is>
      </c>
      <c r="B52" s="1" t="n">
        <v>45627.75526620371</v>
      </c>
      <c r="C52" s="1" t="n">
        <v>45893</v>
      </c>
      <c r="D52" t="inlineStr">
        <is>
          <t>VÄSTMANLANDS LÄN</t>
        </is>
      </c>
      <c r="E52" t="inlineStr">
        <is>
          <t>FAGERSTA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22482-2023</t>
        </is>
      </c>
      <c r="B53" s="1" t="n">
        <v>45071</v>
      </c>
      <c r="C53" s="1" t="n">
        <v>45893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22485-2023</t>
        </is>
      </c>
      <c r="B54" s="1" t="n">
        <v>45071</v>
      </c>
      <c r="C54" s="1" t="n">
        <v>45893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7385-2023</t>
        </is>
      </c>
      <c r="B55" s="1" t="n">
        <v>44971</v>
      </c>
      <c r="C55" s="1" t="n">
        <v>45893</v>
      </c>
      <c r="D55" t="inlineStr">
        <is>
          <t>VÄSTMANLANDS LÄN</t>
        </is>
      </c>
      <c r="E55" t="inlineStr">
        <is>
          <t>FAGERSTA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8264-2023</t>
        </is>
      </c>
      <c r="B56" s="1" t="n">
        <v>44974.62284722222</v>
      </c>
      <c r="C56" s="1" t="n">
        <v>45893</v>
      </c>
      <c r="D56" t="inlineStr">
        <is>
          <t>VÄSTMANLANDS LÄN</t>
        </is>
      </c>
      <c r="E56" t="inlineStr">
        <is>
          <t>FAGERSTA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45893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19888-2025</t>
        </is>
      </c>
      <c r="B58" s="1" t="n">
        <v>45771.57357638889</v>
      </c>
      <c r="C58" s="1" t="n">
        <v>45893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30503-2021</t>
        </is>
      </c>
      <c r="B59" s="1" t="n">
        <v>44364</v>
      </c>
      <c r="C59" s="1" t="n">
        <v>45893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64310-2020</t>
        </is>
      </c>
      <c r="B60" s="1" t="n">
        <v>44168</v>
      </c>
      <c r="C60" s="1" t="n">
        <v>45893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50209-2024</t>
        </is>
      </c>
      <c r="B61" s="1" t="n">
        <v>45600</v>
      </c>
      <c r="C61" s="1" t="n">
        <v>45893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45893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56698-2024</t>
        </is>
      </c>
      <c r="B63" s="1" t="n">
        <v>45627.79015046296</v>
      </c>
      <c r="C63" s="1" t="n">
        <v>45893</v>
      </c>
      <c r="D63" t="inlineStr">
        <is>
          <t>VÄSTMANLANDS LÄN</t>
        </is>
      </c>
      <c r="E63" t="inlineStr">
        <is>
          <t>FAGERSTA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14590-2025</t>
        </is>
      </c>
      <c r="B64" s="1" t="n">
        <v>45742.33019675926</v>
      </c>
      <c r="C64" s="1" t="n">
        <v>45893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33357-2023</t>
        </is>
      </c>
      <c r="B65" s="1" t="n">
        <v>45128.4874537037</v>
      </c>
      <c r="C65" s="1" t="n">
        <v>45893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45893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11583-2025</t>
        </is>
      </c>
      <c r="B67" s="1" t="n">
        <v>45727</v>
      </c>
      <c r="C67" s="1" t="n">
        <v>45893</v>
      </c>
      <c r="D67" t="inlineStr">
        <is>
          <t>VÄSTMANLANDS LÄN</t>
        </is>
      </c>
      <c r="E67" t="inlineStr">
        <is>
          <t>FAGERSTA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58310-2024</t>
        </is>
      </c>
      <c r="B68" s="1" t="n">
        <v>45632</v>
      </c>
      <c r="C68" s="1" t="n">
        <v>45893</v>
      </c>
      <c r="D68" t="inlineStr">
        <is>
          <t>VÄSTMANLANDS LÄN</t>
        </is>
      </c>
      <c r="E68" t="inlineStr">
        <is>
          <t>FAGERSTA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12121-2023</t>
        </is>
      </c>
      <c r="B69" s="1" t="n">
        <v>44998</v>
      </c>
      <c r="C69" s="1" t="n">
        <v>45893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30813-2022</t>
        </is>
      </c>
      <c r="B70" s="1" t="n">
        <v>44764.96467592593</v>
      </c>
      <c r="C70" s="1" t="n">
        <v>45893</v>
      </c>
      <c r="D70" t="inlineStr">
        <is>
          <t>VÄSTMANLANDS LÄN</t>
        </is>
      </c>
      <c r="E70" t="inlineStr">
        <is>
          <t>FAGERSTA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22117-2025</t>
        </is>
      </c>
      <c r="B71" s="1" t="n">
        <v>45785.51381944444</v>
      </c>
      <c r="C71" s="1" t="n">
        <v>45893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22118-2025</t>
        </is>
      </c>
      <c r="B72" s="1" t="n">
        <v>45785.51457175926</v>
      </c>
      <c r="C72" s="1" t="n">
        <v>45893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7380-2025</t>
        </is>
      </c>
      <c r="B73" s="1" t="n">
        <v>45705.32150462963</v>
      </c>
      <c r="C73" s="1" t="n">
        <v>45893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45893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26509-2022</t>
        </is>
      </c>
      <c r="B75" s="1" t="n">
        <v>44739</v>
      </c>
      <c r="C75" s="1" t="n">
        <v>45893</v>
      </c>
      <c r="D75" t="inlineStr">
        <is>
          <t>VÄSTMANLANDS LÄN</t>
        </is>
      </c>
      <c r="E75" t="inlineStr">
        <is>
          <t>FAGERSTA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56704-2024</t>
        </is>
      </c>
      <c r="B76" s="1" t="n">
        <v>45627.83027777778</v>
      </c>
      <c r="C76" s="1" t="n">
        <v>45893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22590-2025</t>
        </is>
      </c>
      <c r="B77" s="1" t="n">
        <v>45789</v>
      </c>
      <c r="C77" s="1" t="n">
        <v>45893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10820-2025</t>
        </is>
      </c>
      <c r="B78" s="1" t="n">
        <v>45722.55008101852</v>
      </c>
      <c r="C78" s="1" t="n">
        <v>45893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45893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13697-2025</t>
        </is>
      </c>
      <c r="B80" s="1" t="n">
        <v>45737</v>
      </c>
      <c r="C80" s="1" t="n">
        <v>45893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49311-2022</t>
        </is>
      </c>
      <c r="B81" s="1" t="n">
        <v>44861</v>
      </c>
      <c r="C81" s="1" t="n">
        <v>45893</v>
      </c>
      <c r="D81" t="inlineStr">
        <is>
          <t>VÄSTMANLANDS LÄN</t>
        </is>
      </c>
      <c r="E81" t="inlineStr">
        <is>
          <t>FAGERSTA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58594-2024</t>
        </is>
      </c>
      <c r="B82" s="1" t="n">
        <v>45635</v>
      </c>
      <c r="C82" s="1" t="n">
        <v>45893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19156-2025</t>
        </is>
      </c>
      <c r="B83" s="1" t="n">
        <v>45769</v>
      </c>
      <c r="C83" s="1" t="n">
        <v>45893</v>
      </c>
      <c r="D83" t="inlineStr">
        <is>
          <t>VÄSTMANLANDS LÄN</t>
        </is>
      </c>
      <c r="E83" t="inlineStr">
        <is>
          <t>FAGERSTA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19153-2025</t>
        </is>
      </c>
      <c r="B84" s="1" t="n">
        <v>45769</v>
      </c>
      <c r="C84" s="1" t="n">
        <v>45893</v>
      </c>
      <c r="D84" t="inlineStr">
        <is>
          <t>VÄSTMANLANDS LÄN</t>
        </is>
      </c>
      <c r="E84" t="inlineStr">
        <is>
          <t>FAGERSTA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39157-2024</t>
        </is>
      </c>
      <c r="B85" s="1" t="n">
        <v>45548.63049768518</v>
      </c>
      <c r="C85" s="1" t="n">
        <v>45893</v>
      </c>
      <c r="D85" t="inlineStr">
        <is>
          <t>VÄSTMANLANDS LÄN</t>
        </is>
      </c>
      <c r="E85" t="inlineStr">
        <is>
          <t>FAGERSTA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45893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21679-2024</t>
        </is>
      </c>
      <c r="B87" s="1" t="n">
        <v>45442</v>
      </c>
      <c r="C87" s="1" t="n">
        <v>45893</v>
      </c>
      <c r="D87" t="inlineStr">
        <is>
          <t>VÄSTMANLANDS LÄN</t>
        </is>
      </c>
      <c r="E87" t="inlineStr">
        <is>
          <t>FAGERSTA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16545-2025</t>
        </is>
      </c>
      <c r="B88" s="1" t="n">
        <v>45751.68105324074</v>
      </c>
      <c r="C88" s="1" t="n">
        <v>45893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16546-2025</t>
        </is>
      </c>
      <c r="B89" s="1" t="n">
        <v>45751.683125</v>
      </c>
      <c r="C89" s="1" t="n">
        <v>45893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4264-2023</t>
        </is>
      </c>
      <c r="B90" s="1" t="n">
        <v>44953.56076388889</v>
      </c>
      <c r="C90" s="1" t="n">
        <v>45893</v>
      </c>
      <c r="D90" t="inlineStr">
        <is>
          <t>VÄSTMANLANDS LÄN</t>
        </is>
      </c>
      <c r="E90" t="inlineStr">
        <is>
          <t>FAGERSTA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26163-2025</t>
        </is>
      </c>
      <c r="B91" s="1" t="n">
        <v>45805.45002314815</v>
      </c>
      <c r="C91" s="1" t="n">
        <v>45893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22323-2024</t>
        </is>
      </c>
      <c r="B92" s="1" t="n">
        <v>45446</v>
      </c>
      <c r="C92" s="1" t="n">
        <v>45893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26165-2025</t>
        </is>
      </c>
      <c r="B93" s="1" t="n">
        <v>45805.45321759259</v>
      </c>
      <c r="C93" s="1" t="n">
        <v>45893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26164-2025</t>
        </is>
      </c>
      <c r="B94" s="1" t="n">
        <v>45805.45237268518</v>
      </c>
      <c r="C94" s="1" t="n">
        <v>45893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45893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26652-2025</t>
        </is>
      </c>
      <c r="B96" s="1" t="n">
        <v>45810.38774305556</v>
      </c>
      <c r="C96" s="1" t="n">
        <v>45893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18463-2025</t>
        </is>
      </c>
      <c r="B97" s="1" t="n">
        <v>45762.69976851852</v>
      </c>
      <c r="C97" s="1" t="n">
        <v>45893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12125-2023</t>
        </is>
      </c>
      <c r="B98" s="1" t="n">
        <v>44998</v>
      </c>
      <c r="C98" s="1" t="n">
        <v>45893</v>
      </c>
      <c r="D98" t="inlineStr">
        <is>
          <t>VÄSTMANLANDS LÄN</t>
        </is>
      </c>
      <c r="E98" t="inlineStr">
        <is>
          <t>FAGERSTA</t>
        </is>
      </c>
      <c r="F98" t="inlineStr">
        <is>
          <t>Övriga Aktiebolag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42844-2024</t>
        </is>
      </c>
      <c r="B99" s="1" t="n">
        <v>45566.62930555556</v>
      </c>
      <c r="C99" s="1" t="n">
        <v>45893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10851-2023</t>
        </is>
      </c>
      <c r="B100" s="1" t="n">
        <v>44991</v>
      </c>
      <c r="C100" s="1" t="n">
        <v>45893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58464-2024</t>
        </is>
      </c>
      <c r="B101" s="1" t="n">
        <v>45635</v>
      </c>
      <c r="C101" s="1" t="n">
        <v>45893</v>
      </c>
      <c r="D101" t="inlineStr">
        <is>
          <t>VÄSTMANLANDS LÄN</t>
        </is>
      </c>
      <c r="E101" t="inlineStr">
        <is>
          <t>FAGERSTA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37955-2023</t>
        </is>
      </c>
      <c r="B102" s="1" t="n">
        <v>45160</v>
      </c>
      <c r="C102" s="1" t="n">
        <v>45893</v>
      </c>
      <c r="D102" t="inlineStr">
        <is>
          <t>VÄSTMANLANDS LÄN</t>
        </is>
      </c>
      <c r="E102" t="inlineStr">
        <is>
          <t>FAGERSTA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62095-2022</t>
        </is>
      </c>
      <c r="B103" s="1" t="n">
        <v>44919</v>
      </c>
      <c r="C103" s="1" t="n">
        <v>45893</v>
      </c>
      <c r="D103" t="inlineStr">
        <is>
          <t>VÄSTMANLANDS LÄN</t>
        </is>
      </c>
      <c r="E103" t="inlineStr">
        <is>
          <t>FAGERSTA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45893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45893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29073-2025</t>
        </is>
      </c>
      <c r="B106" s="1" t="n">
        <v>45821.51579861111</v>
      </c>
      <c r="C106" s="1" t="n">
        <v>45893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29072-2025</t>
        </is>
      </c>
      <c r="B107" s="1" t="n">
        <v>45821.51378472222</v>
      </c>
      <c r="C107" s="1" t="n">
        <v>45893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29074-2025</t>
        </is>
      </c>
      <c r="B108" s="1" t="n">
        <v>45821.51690972222</v>
      </c>
      <c r="C108" s="1" t="n">
        <v>45893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29075-2025</t>
        </is>
      </c>
      <c r="B109" s="1" t="n">
        <v>45821.51886574074</v>
      </c>
      <c r="C109" s="1" t="n">
        <v>45893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65829-2020</t>
        </is>
      </c>
      <c r="B110" s="1" t="n">
        <v>44172</v>
      </c>
      <c r="C110" s="1" t="n">
        <v>45893</v>
      </c>
      <c r="D110" t="inlineStr">
        <is>
          <t>VÄSTMANLANDS LÄN</t>
        </is>
      </c>
      <c r="E110" t="inlineStr">
        <is>
          <t>FAGERSTA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29348-2025</t>
        </is>
      </c>
      <c r="B111" s="1" t="n">
        <v>45824.51702546296</v>
      </c>
      <c r="C111" s="1" t="n">
        <v>45893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28249-2022</t>
        </is>
      </c>
      <c r="B112" s="1" t="n">
        <v>44746</v>
      </c>
      <c r="C112" s="1" t="n">
        <v>45893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29725-2025</t>
        </is>
      </c>
      <c r="B113" s="1" t="n">
        <v>45825.57805555555</v>
      </c>
      <c r="C113" s="1" t="n">
        <v>45893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17612-2025</t>
        </is>
      </c>
      <c r="B114" s="1" t="n">
        <v>45757.79734953704</v>
      </c>
      <c r="C114" s="1" t="n">
        <v>45893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45893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13495-2025</t>
        </is>
      </c>
      <c r="B116" s="1" t="n">
        <v>45736.44006944444</v>
      </c>
      <c r="C116" s="1" t="n">
        <v>45893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56699-2024</t>
        </is>
      </c>
      <c r="B117" s="1" t="n">
        <v>45627.7980787037</v>
      </c>
      <c r="C117" s="1" t="n">
        <v>45893</v>
      </c>
      <c r="D117" t="inlineStr">
        <is>
          <t>VÄSTMANLANDS LÄN</t>
        </is>
      </c>
      <c r="E117" t="inlineStr">
        <is>
          <t>FAGERSTA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31231-2024</t>
        </is>
      </c>
      <c r="B118" s="1" t="n">
        <v>45503</v>
      </c>
      <c r="C118" s="1" t="n">
        <v>45893</v>
      </c>
      <c r="D118" t="inlineStr">
        <is>
          <t>VÄSTMANLANDS LÄN</t>
        </is>
      </c>
      <c r="E118" t="inlineStr">
        <is>
          <t>FAGERSTA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31776-2025</t>
        </is>
      </c>
      <c r="B119" s="1" t="n">
        <v>45834.51931712963</v>
      </c>
      <c r="C119" s="1" t="n">
        <v>45893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31775-2025</t>
        </is>
      </c>
      <c r="B120" s="1" t="n">
        <v>45834.51887731482</v>
      </c>
      <c r="C120" s="1" t="n">
        <v>45893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32004-2025</t>
        </is>
      </c>
      <c r="B121" s="1" t="n">
        <v>45835</v>
      </c>
      <c r="C121" s="1" t="n">
        <v>45893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20909-2024</t>
        </is>
      </c>
      <c r="B122" s="1" t="n">
        <v>45439</v>
      </c>
      <c r="C122" s="1" t="n">
        <v>45893</v>
      </c>
      <c r="D122" t="inlineStr">
        <is>
          <t>VÄSTMANLANDS LÄN</t>
        </is>
      </c>
      <c r="E122" t="inlineStr">
        <is>
          <t>FAGERSTA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32001-2025</t>
        </is>
      </c>
      <c r="B123" s="1" t="n">
        <v>45835.37936342593</v>
      </c>
      <c r="C123" s="1" t="n">
        <v>45893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31768-2025</t>
        </is>
      </c>
      <c r="B124" s="1" t="n">
        <v>45834.50034722222</v>
      </c>
      <c r="C124" s="1" t="n">
        <v>45893</v>
      </c>
      <c r="D124" t="inlineStr">
        <is>
          <t>VÄSTMANLANDS LÄN</t>
        </is>
      </c>
      <c r="E124" t="inlineStr">
        <is>
          <t>FAGERSTA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13721-2024</t>
        </is>
      </c>
      <c r="B125" s="1" t="n">
        <v>45390</v>
      </c>
      <c r="C125" s="1" t="n">
        <v>45893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30630-2023</t>
        </is>
      </c>
      <c r="B126" s="1" t="n">
        <v>45112</v>
      </c>
      <c r="C126" s="1" t="n">
        <v>45893</v>
      </c>
      <c r="D126" t="inlineStr">
        <is>
          <t>VÄSTMANLANDS LÄN</t>
        </is>
      </c>
      <c r="E126" t="inlineStr">
        <is>
          <t>FAGERSTA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45893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40185-2020</t>
        </is>
      </c>
      <c r="B128" s="1" t="n">
        <v>44068</v>
      </c>
      <c r="C128" s="1" t="n">
        <v>45893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30356-2024</t>
        </is>
      </c>
      <c r="B129" s="1" t="n">
        <v>45491.31465277778</v>
      </c>
      <c r="C129" s="1" t="n">
        <v>45893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45893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33232-2025</t>
        </is>
      </c>
      <c r="B131" s="1" t="n">
        <v>45840</v>
      </c>
      <c r="C131" s="1" t="n">
        <v>45893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45390-2023</t>
        </is>
      </c>
      <c r="B132" s="1" t="n">
        <v>45193.92085648148</v>
      </c>
      <c r="C132" s="1" t="n">
        <v>45893</v>
      </c>
      <c r="D132" t="inlineStr">
        <is>
          <t>VÄSTMANLANDS LÄN</t>
        </is>
      </c>
      <c r="E132" t="inlineStr">
        <is>
          <t>FAGERSTA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33238-2025</t>
        </is>
      </c>
      <c r="B133" s="1" t="n">
        <v>45840.64806712963</v>
      </c>
      <c r="C133" s="1" t="n">
        <v>45893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33865-2025</t>
        </is>
      </c>
      <c r="B134" s="1" t="n">
        <v>45842.533125</v>
      </c>
      <c r="C134" s="1" t="n">
        <v>45893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34374-2025</t>
        </is>
      </c>
      <c r="B135" s="1" t="n">
        <v>45846</v>
      </c>
      <c r="C135" s="1" t="n">
        <v>45893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28207-2024</t>
        </is>
      </c>
      <c r="B136" s="1" t="n">
        <v>45477</v>
      </c>
      <c r="C136" s="1" t="n">
        <v>45893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39015-2025</t>
        </is>
      </c>
      <c r="B137" s="1" t="n">
        <v>45888.36605324074</v>
      </c>
      <c r="C137" s="1" t="n">
        <v>45893</v>
      </c>
      <c r="D137" t="inlineStr">
        <is>
          <t>VÄSTMANLANDS LÄN</t>
        </is>
      </c>
      <c r="E137" t="inlineStr">
        <is>
          <t>FAGERSTA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28425-2025</t>
        </is>
      </c>
      <c r="B138" s="1" t="n">
        <v>45819.37296296296</v>
      </c>
      <c r="C138" s="1" t="n">
        <v>45893</v>
      </c>
      <c r="D138" t="inlineStr">
        <is>
          <t>VÄSTMANLANDS LÄN</t>
        </is>
      </c>
      <c r="E138" t="inlineStr">
        <is>
          <t>FAGERSTA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19213-2025</t>
        </is>
      </c>
      <c r="B139" s="1" t="n">
        <v>45769.43887731482</v>
      </c>
      <c r="C139" s="1" t="n">
        <v>45893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11660-2023</t>
        </is>
      </c>
      <c r="B140" s="1" t="n">
        <v>44994</v>
      </c>
      <c r="C140" s="1" t="n">
        <v>45893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33007-2023</t>
        </is>
      </c>
      <c r="B141" s="1" t="n">
        <v>45125</v>
      </c>
      <c r="C141" s="1" t="n">
        <v>45893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51586-2023</t>
        </is>
      </c>
      <c r="B142" s="1" t="n">
        <v>45222.46934027778</v>
      </c>
      <c r="C142" s="1" t="n">
        <v>45893</v>
      </c>
      <c r="D142" t="inlineStr">
        <is>
          <t>VÄSTMANLANDS LÄN</t>
        </is>
      </c>
      <c r="E142" t="inlineStr">
        <is>
          <t>FAGERSTA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16547-2025</t>
        </is>
      </c>
      <c r="B143" s="1" t="n">
        <v>45751.68385416667</v>
      </c>
      <c r="C143" s="1" t="n">
        <v>45893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57855-2023</t>
        </is>
      </c>
      <c r="B144" s="1" t="n">
        <v>45247.43503472222</v>
      </c>
      <c r="C144" s="1" t="n">
        <v>45893</v>
      </c>
      <c r="D144" t="inlineStr">
        <is>
          <t>VÄSTMANLANDS LÄN</t>
        </is>
      </c>
      <c r="E144" t="inlineStr">
        <is>
          <t>FAGERSTA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2025-08-24T08:28:16Z</dcterms:created>
  <dcterms:modified xmlns:dcterms="http://purl.org/dc/terms/" xmlns:xsi="http://www.w3.org/2001/XMLSchema-instance" xsi:type="dcterms:W3CDTF">2025-08-24T08:28:16Z</dcterms:modified>
</cp:coreProperties>
</file>