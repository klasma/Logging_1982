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10792-2020</t>
        </is>
      </c>
      <c r="B2" s="1" t="n">
        <v>43888</v>
      </c>
      <c r="C2" s="1" t="n">
        <v>45292</v>
      </c>
      <c r="D2" t="inlineStr">
        <is>
          <t>VÄSTMANLANDS LÄN</t>
        </is>
      </c>
      <c r="E2" t="inlineStr">
        <is>
          <t>FAGERSTA</t>
        </is>
      </c>
      <c r="F2" t="inlineStr">
        <is>
          <t>Bergvik skog väst AB</t>
        </is>
      </c>
      <c r="G2" t="n">
        <v>29.3</v>
      </c>
      <c r="H2" t="n">
        <v>2</v>
      </c>
      <c r="I2" t="n">
        <v>6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12</v>
      </c>
      <c r="R2" s="2" t="inlineStr">
        <is>
          <t>Knärot
Rynkskinn
Tallticka
Ullticka
Vedtrappmossa
Blodticka
Dropptaggsvamp
Grönpyrola
Nästlav
Skarp dropptaggsvamp
Vedticka
Revlummer</t>
        </is>
      </c>
      <c r="S2">
        <f>HYPERLINK("https://klasma.github.io/Logging_1982/artfynd/A 10792-2020 artfynd.xlsx", "A 10792-2020")</f>
        <v/>
      </c>
      <c r="T2">
        <f>HYPERLINK("https://klasma.github.io/Logging_1982/kartor/A 10792-2020 karta.png", "A 10792-2020")</f>
        <v/>
      </c>
      <c r="U2">
        <f>HYPERLINK("https://klasma.github.io/Logging_1982/knärot/A 10792-2020 karta knärot.png", "A 10792-2020")</f>
        <v/>
      </c>
      <c r="V2">
        <f>HYPERLINK("https://klasma.github.io/Logging_1982/klagomål/A 10792-2020 FSC-klagomål.docx", "A 10792-2020")</f>
        <v/>
      </c>
      <c r="W2">
        <f>HYPERLINK("https://klasma.github.io/Logging_1982/klagomålsmail/A 10792-2020 FSC-klagomål mail.docx", "A 10792-2020")</f>
        <v/>
      </c>
      <c r="X2">
        <f>HYPERLINK("https://klasma.github.io/Logging_1982/tillsyn/A 10792-2020 tillsynsbegäran.docx", "A 10792-2020")</f>
        <v/>
      </c>
      <c r="Y2">
        <f>HYPERLINK("https://klasma.github.io/Logging_1982/tillsynsmail/A 10792-2020 tillsynsbegäran mail.docx", "A 10792-2020")</f>
        <v/>
      </c>
    </row>
    <row r="3" ht="15" customHeight="1">
      <c r="A3" t="inlineStr">
        <is>
          <t>A 8676-2020</t>
        </is>
      </c>
      <c r="B3" s="1" t="n">
        <v>43878</v>
      </c>
      <c r="C3" s="1" t="n">
        <v>45292</v>
      </c>
      <c r="D3" t="inlineStr">
        <is>
          <t>VÄSTMANLANDS LÄN</t>
        </is>
      </c>
      <c r="E3" t="inlineStr">
        <is>
          <t>FAGERSTA</t>
        </is>
      </c>
      <c r="F3" t="inlineStr">
        <is>
          <t>Övriga Aktiebolag</t>
        </is>
      </c>
      <c r="G3" t="n">
        <v>16</v>
      </c>
      <c r="H3" t="n">
        <v>2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Lunglav
Motaggsvamp
Ullticka
Vedtrappmossa
Bronshjon
Bårdlav
Grön sköldmossa
Gulnål
Stuplav
Vedticka</t>
        </is>
      </c>
      <c r="S3">
        <f>HYPERLINK("https://klasma.github.io/Logging_1982/artfynd/A 8676-2020 artfynd.xlsx", "A 8676-2020")</f>
        <v/>
      </c>
      <c r="T3">
        <f>HYPERLINK("https://klasma.github.io/Logging_1982/kartor/A 8676-2020 karta.png", "A 8676-2020")</f>
        <v/>
      </c>
      <c r="U3">
        <f>HYPERLINK("https://klasma.github.io/Logging_1982/knärot/A 8676-2020 karta knärot.png", "A 8676-2020")</f>
        <v/>
      </c>
      <c r="V3">
        <f>HYPERLINK("https://klasma.github.io/Logging_1982/klagomål/A 8676-2020 FSC-klagomål.docx", "A 8676-2020")</f>
        <v/>
      </c>
      <c r="W3">
        <f>HYPERLINK("https://klasma.github.io/Logging_1982/klagomålsmail/A 8676-2020 FSC-klagomål mail.docx", "A 8676-2020")</f>
        <v/>
      </c>
      <c r="X3">
        <f>HYPERLINK("https://klasma.github.io/Logging_1982/tillsyn/A 8676-2020 tillsynsbegäran.docx", "A 8676-2020")</f>
        <v/>
      </c>
      <c r="Y3">
        <f>HYPERLINK("https://klasma.github.io/Logging_1982/tillsynsmail/A 8676-2020 tillsynsbegäran mail.docx", "A 8676-2020")</f>
        <v/>
      </c>
    </row>
    <row r="4" ht="15" customHeight="1">
      <c r="A4" t="inlineStr">
        <is>
          <t>A 5039-2019</t>
        </is>
      </c>
      <c r="B4" s="1" t="n">
        <v>43487</v>
      </c>
      <c r="C4" s="1" t="n">
        <v>45292</v>
      </c>
      <c r="D4" t="inlineStr">
        <is>
          <t>VÄSTMANLANDS LÄN</t>
        </is>
      </c>
      <c r="E4" t="inlineStr">
        <is>
          <t>FAGERSTA</t>
        </is>
      </c>
      <c r="G4" t="n">
        <v>6.4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Skogsalm
Blåsippa
Revlummer</t>
        </is>
      </c>
      <c r="S4">
        <f>HYPERLINK("https://klasma.github.io/Logging_1982/artfynd/A 5039-2019 artfynd.xlsx", "A 5039-2019")</f>
        <v/>
      </c>
      <c r="T4">
        <f>HYPERLINK("https://klasma.github.io/Logging_1982/kartor/A 5039-2019 karta.png", "A 5039-2019")</f>
        <v/>
      </c>
      <c r="V4">
        <f>HYPERLINK("https://klasma.github.io/Logging_1982/klagomål/A 5039-2019 FSC-klagomål.docx", "A 5039-2019")</f>
        <v/>
      </c>
      <c r="W4">
        <f>HYPERLINK("https://klasma.github.io/Logging_1982/klagomålsmail/A 5039-2019 FSC-klagomål mail.docx", "A 5039-2019")</f>
        <v/>
      </c>
      <c r="X4">
        <f>HYPERLINK("https://klasma.github.io/Logging_1982/tillsyn/A 5039-2019 tillsynsbegäran.docx", "A 5039-2019")</f>
        <v/>
      </c>
      <c r="Y4">
        <f>HYPERLINK("https://klasma.github.io/Logging_1982/tillsynsmail/A 5039-2019 tillsynsbegäran mail.docx", "A 5039-2019")</f>
        <v/>
      </c>
    </row>
    <row r="5" ht="15" customHeight="1">
      <c r="A5" t="inlineStr">
        <is>
          <t>A 28438-2022</t>
        </is>
      </c>
      <c r="B5" s="1" t="n">
        <v>44747</v>
      </c>
      <c r="C5" s="1" t="n">
        <v>45292</v>
      </c>
      <c r="D5" t="inlineStr">
        <is>
          <t>VÄSTMANLANDS LÄN</t>
        </is>
      </c>
      <c r="E5" t="inlineStr">
        <is>
          <t>FAGERSTA</t>
        </is>
      </c>
      <c r="F5" t="inlineStr">
        <is>
          <t>Sveaskog</t>
        </is>
      </c>
      <c r="G5" t="n">
        <v>2.6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Tallticka
Vedtrappmossa
Kornknutmossa</t>
        </is>
      </c>
      <c r="S5">
        <f>HYPERLINK("https://klasma.github.io/Logging_1982/artfynd/A 28438-2022 artfynd.xlsx", "A 28438-2022")</f>
        <v/>
      </c>
      <c r="T5">
        <f>HYPERLINK("https://klasma.github.io/Logging_1982/kartor/A 28438-2022 karta.png", "A 28438-2022")</f>
        <v/>
      </c>
      <c r="V5">
        <f>HYPERLINK("https://klasma.github.io/Logging_1982/klagomål/A 28438-2022 FSC-klagomål.docx", "A 28438-2022")</f>
        <v/>
      </c>
      <c r="W5">
        <f>HYPERLINK("https://klasma.github.io/Logging_1982/klagomålsmail/A 28438-2022 FSC-klagomål mail.docx", "A 28438-2022")</f>
        <v/>
      </c>
      <c r="X5">
        <f>HYPERLINK("https://klasma.github.io/Logging_1982/tillsyn/A 28438-2022 tillsynsbegäran.docx", "A 28438-2022")</f>
        <v/>
      </c>
      <c r="Y5">
        <f>HYPERLINK("https://klasma.github.io/Logging_1982/tillsynsmail/A 28438-2022 tillsynsbegäran mail.docx", "A 28438-2022")</f>
        <v/>
      </c>
    </row>
    <row r="6" ht="15" customHeight="1">
      <c r="A6" t="inlineStr">
        <is>
          <t>A 44399-2019</t>
        </is>
      </c>
      <c r="B6" s="1" t="n">
        <v>43711</v>
      </c>
      <c r="C6" s="1" t="n">
        <v>45292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4.6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Skogsalm
Tibast</t>
        </is>
      </c>
      <c r="S6">
        <f>HYPERLINK("https://klasma.github.io/Logging_1982/artfynd/A 44399-2019 artfynd.xlsx", "A 44399-2019")</f>
        <v/>
      </c>
      <c r="T6">
        <f>HYPERLINK("https://klasma.github.io/Logging_1982/kartor/A 44399-2019 karta.png", "A 44399-2019")</f>
        <v/>
      </c>
      <c r="V6">
        <f>HYPERLINK("https://klasma.github.io/Logging_1982/klagomål/A 44399-2019 FSC-klagomål.docx", "A 44399-2019")</f>
        <v/>
      </c>
      <c r="W6">
        <f>HYPERLINK("https://klasma.github.io/Logging_1982/klagomålsmail/A 44399-2019 FSC-klagomål mail.docx", "A 44399-2019")</f>
        <v/>
      </c>
      <c r="X6">
        <f>HYPERLINK("https://klasma.github.io/Logging_1982/tillsyn/A 44399-2019 tillsynsbegäran.docx", "A 44399-2019")</f>
        <v/>
      </c>
      <c r="Y6">
        <f>HYPERLINK("https://klasma.github.io/Logging_1982/tillsynsmail/A 44399-2019 tillsynsbegäran mail.docx", "A 44399-2019")</f>
        <v/>
      </c>
    </row>
    <row r="7" ht="15" customHeight="1">
      <c r="A7" t="inlineStr">
        <is>
          <t>A 9956-2022</t>
        </is>
      </c>
      <c r="B7" s="1" t="n">
        <v>44621</v>
      </c>
      <c r="C7" s="1" t="n">
        <v>45292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6.4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Ögonpyrola
Fläcknycklar</t>
        </is>
      </c>
      <c r="S7">
        <f>HYPERLINK("https://klasma.github.io/Logging_1982/artfynd/A 9956-2022 artfynd.xlsx", "A 9956-2022")</f>
        <v/>
      </c>
      <c r="T7">
        <f>HYPERLINK("https://klasma.github.io/Logging_1982/kartor/A 9956-2022 karta.png", "A 9956-2022")</f>
        <v/>
      </c>
      <c r="V7">
        <f>HYPERLINK("https://klasma.github.io/Logging_1982/klagomål/A 9956-2022 FSC-klagomål.docx", "A 9956-2022")</f>
        <v/>
      </c>
      <c r="W7">
        <f>HYPERLINK("https://klasma.github.io/Logging_1982/klagomålsmail/A 9956-2022 FSC-klagomål mail.docx", "A 9956-2022")</f>
        <v/>
      </c>
      <c r="X7">
        <f>HYPERLINK("https://klasma.github.io/Logging_1982/tillsyn/A 9956-2022 tillsynsbegäran.docx", "A 9956-2022")</f>
        <v/>
      </c>
      <c r="Y7">
        <f>HYPERLINK("https://klasma.github.io/Logging_1982/tillsynsmail/A 9956-2022 tillsynsbegäran mail.docx", "A 9956-2022")</f>
        <v/>
      </c>
    </row>
    <row r="8" ht="15" customHeight="1">
      <c r="A8" t="inlineStr">
        <is>
          <t>A 20831-2019</t>
        </is>
      </c>
      <c r="B8" s="1" t="n">
        <v>43574</v>
      </c>
      <c r="C8" s="1" t="n">
        <v>45292</v>
      </c>
      <c r="D8" t="inlineStr">
        <is>
          <t>VÄSTMANLANDS LÄN</t>
        </is>
      </c>
      <c r="E8" t="inlineStr">
        <is>
          <t>FAGERSTA</t>
        </is>
      </c>
      <c r="G8" t="n">
        <v>13.1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Vedticka</t>
        </is>
      </c>
      <c r="S8">
        <f>HYPERLINK("https://klasma.github.io/Logging_1982/artfynd/A 20831-2019 artfynd.xlsx", "A 20831-2019")</f>
        <v/>
      </c>
      <c r="T8">
        <f>HYPERLINK("https://klasma.github.io/Logging_1982/kartor/A 20831-2019 karta.png", "A 20831-2019")</f>
        <v/>
      </c>
      <c r="V8">
        <f>HYPERLINK("https://klasma.github.io/Logging_1982/klagomål/A 20831-2019 FSC-klagomål.docx", "A 20831-2019")</f>
        <v/>
      </c>
      <c r="W8">
        <f>HYPERLINK("https://klasma.github.io/Logging_1982/klagomålsmail/A 20831-2019 FSC-klagomål mail.docx", "A 20831-2019")</f>
        <v/>
      </c>
      <c r="X8">
        <f>HYPERLINK("https://klasma.github.io/Logging_1982/tillsyn/A 20831-2019 tillsynsbegäran.docx", "A 20831-2019")</f>
        <v/>
      </c>
      <c r="Y8">
        <f>HYPERLINK("https://klasma.github.io/Logging_1982/tillsynsmail/A 20831-2019 tillsynsbegäran mail.docx", "A 20831-2019")</f>
        <v/>
      </c>
    </row>
    <row r="9" ht="15" customHeight="1">
      <c r="A9" t="inlineStr">
        <is>
          <t>A 38127-2021</t>
        </is>
      </c>
      <c r="B9" s="1" t="n">
        <v>44405</v>
      </c>
      <c r="C9" s="1" t="n">
        <v>45292</v>
      </c>
      <c r="D9" t="inlineStr">
        <is>
          <t>VÄSTMANLANDS LÄN</t>
        </is>
      </c>
      <c r="E9" t="inlineStr">
        <is>
          <t>FAGERSTA</t>
        </is>
      </c>
      <c r="F9" t="inlineStr">
        <is>
          <t>Sveaskog</t>
        </is>
      </c>
      <c r="G9" t="n">
        <v>2.8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HYPERLINK("https://klasma.github.io/Logging_1982/artfynd/A 38127-2021 artfynd.xlsx", "A 38127-2021")</f>
        <v/>
      </c>
      <c r="T9">
        <f>HYPERLINK("https://klasma.github.io/Logging_1982/kartor/A 38127-2021 karta.png", "A 38127-2021")</f>
        <v/>
      </c>
      <c r="U9">
        <f>HYPERLINK("https://klasma.github.io/Logging_1982/knärot/A 38127-2021 karta knärot.png", "A 38127-2021")</f>
        <v/>
      </c>
      <c r="V9">
        <f>HYPERLINK("https://klasma.github.io/Logging_1982/klagomål/A 38127-2021 FSC-klagomål.docx", "A 38127-2021")</f>
        <v/>
      </c>
      <c r="W9">
        <f>HYPERLINK("https://klasma.github.io/Logging_1982/klagomålsmail/A 38127-2021 FSC-klagomål mail.docx", "A 38127-2021")</f>
        <v/>
      </c>
      <c r="X9">
        <f>HYPERLINK("https://klasma.github.io/Logging_1982/tillsyn/A 38127-2021 tillsynsbegäran.docx", "A 38127-2021")</f>
        <v/>
      </c>
      <c r="Y9">
        <f>HYPERLINK("https://klasma.github.io/Logging_1982/tillsynsmail/A 38127-2021 tillsynsbegäran mail.docx", "A 38127-2021")</f>
        <v/>
      </c>
    </row>
    <row r="10" ht="15" customHeight="1">
      <c r="A10" t="inlineStr">
        <is>
          <t>A 28435-2022</t>
        </is>
      </c>
      <c r="B10" s="1" t="n">
        <v>44747</v>
      </c>
      <c r="C10" s="1" t="n">
        <v>45292</v>
      </c>
      <c r="D10" t="inlineStr">
        <is>
          <t>VÄSTMANLANDS LÄN</t>
        </is>
      </c>
      <c r="E10" t="inlineStr">
        <is>
          <t>FAGERSTA</t>
        </is>
      </c>
      <c r="F10" t="inlineStr">
        <is>
          <t>Sveaskog</t>
        </is>
      </c>
      <c r="G10" t="n">
        <v>0.9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Stjärntagging</t>
        </is>
      </c>
      <c r="S10">
        <f>HYPERLINK("https://klasma.github.io/Logging_1982/artfynd/A 28435-2022 artfynd.xlsx", "A 28435-2022")</f>
        <v/>
      </c>
      <c r="T10">
        <f>HYPERLINK("https://klasma.github.io/Logging_1982/kartor/A 28435-2022 karta.png", "A 28435-2022")</f>
        <v/>
      </c>
      <c r="V10">
        <f>HYPERLINK("https://klasma.github.io/Logging_1982/klagomål/A 28435-2022 FSC-klagomål.docx", "A 28435-2022")</f>
        <v/>
      </c>
      <c r="W10">
        <f>HYPERLINK("https://klasma.github.io/Logging_1982/klagomålsmail/A 28435-2022 FSC-klagomål mail.docx", "A 28435-2022")</f>
        <v/>
      </c>
      <c r="X10">
        <f>HYPERLINK("https://klasma.github.io/Logging_1982/tillsyn/A 28435-2022 tillsynsbegäran.docx", "A 28435-2022")</f>
        <v/>
      </c>
      <c r="Y10">
        <f>HYPERLINK("https://klasma.github.io/Logging_1982/tillsynsmail/A 28435-2022 tillsynsbegäran mail.docx", "A 28435-2022")</f>
        <v/>
      </c>
    </row>
    <row r="11" ht="15" customHeight="1">
      <c r="A11" t="inlineStr">
        <is>
          <t>A 29532-2022</t>
        </is>
      </c>
      <c r="B11" s="1" t="n">
        <v>44753</v>
      </c>
      <c r="C11" s="1" t="n">
        <v>45292</v>
      </c>
      <c r="D11" t="inlineStr">
        <is>
          <t>VÄSTMANLANDS LÄN</t>
        </is>
      </c>
      <c r="E11" t="inlineStr">
        <is>
          <t>FAGERSTA</t>
        </is>
      </c>
      <c r="G11" t="n">
        <v>4.7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Hagfingersvamp</t>
        </is>
      </c>
      <c r="S11">
        <f>HYPERLINK("https://klasma.github.io/Logging_1982/artfynd/A 29532-2022 artfynd.xlsx", "A 29532-2022")</f>
        <v/>
      </c>
      <c r="T11">
        <f>HYPERLINK("https://klasma.github.io/Logging_1982/kartor/A 29532-2022 karta.png", "A 29532-2022")</f>
        <v/>
      </c>
      <c r="V11">
        <f>HYPERLINK("https://klasma.github.io/Logging_1982/klagomål/A 29532-2022 FSC-klagomål.docx", "A 29532-2022")</f>
        <v/>
      </c>
      <c r="W11">
        <f>HYPERLINK("https://klasma.github.io/Logging_1982/klagomålsmail/A 29532-2022 FSC-klagomål mail.docx", "A 29532-2022")</f>
        <v/>
      </c>
      <c r="X11">
        <f>HYPERLINK("https://klasma.github.io/Logging_1982/tillsyn/A 29532-2022 tillsynsbegäran.docx", "A 29532-2022")</f>
        <v/>
      </c>
      <c r="Y11">
        <f>HYPERLINK("https://klasma.github.io/Logging_1982/tillsynsmail/A 29532-2022 tillsynsbegäran mail.docx", "A 29532-2022")</f>
        <v/>
      </c>
    </row>
    <row r="12" ht="15" customHeight="1">
      <c r="A12" t="inlineStr">
        <is>
          <t>A 15334-2023</t>
        </is>
      </c>
      <c r="B12" s="1" t="n">
        <v>45019</v>
      </c>
      <c r="C12" s="1" t="n">
        <v>45292</v>
      </c>
      <c r="D12" t="inlineStr">
        <is>
          <t>VÄSTMANLANDS LÄN</t>
        </is>
      </c>
      <c r="E12" t="inlineStr">
        <is>
          <t>FAGERSTA</t>
        </is>
      </c>
      <c r="F12" t="inlineStr">
        <is>
          <t>Övriga Aktiebolag</t>
        </is>
      </c>
      <c r="G12" t="n">
        <v>27.3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Grovticka</t>
        </is>
      </c>
      <c r="S12">
        <f>HYPERLINK("https://klasma.github.io/Logging_1982/artfynd/A 15334-2023 artfynd.xlsx", "A 15334-2023")</f>
        <v/>
      </c>
      <c r="T12">
        <f>HYPERLINK("https://klasma.github.io/Logging_1982/kartor/A 15334-2023 karta.png", "A 15334-2023")</f>
        <v/>
      </c>
      <c r="V12">
        <f>HYPERLINK("https://klasma.github.io/Logging_1982/klagomål/A 15334-2023 FSC-klagomål.docx", "A 15334-2023")</f>
        <v/>
      </c>
      <c r="W12">
        <f>HYPERLINK("https://klasma.github.io/Logging_1982/klagomålsmail/A 15334-2023 FSC-klagomål mail.docx", "A 15334-2023")</f>
        <v/>
      </c>
      <c r="X12">
        <f>HYPERLINK("https://klasma.github.io/Logging_1982/tillsyn/A 15334-2023 tillsynsbegäran.docx", "A 15334-2023")</f>
        <v/>
      </c>
      <c r="Y12">
        <f>HYPERLINK("https://klasma.github.io/Logging_1982/tillsynsmail/A 15334-2023 tillsynsbegäran mail.docx", "A 15334-2023")</f>
        <v/>
      </c>
    </row>
    <row r="13" ht="15" customHeight="1">
      <c r="A13" t="inlineStr">
        <is>
          <t>A 15631-2023</t>
        </is>
      </c>
      <c r="B13" s="1" t="n">
        <v>45021</v>
      </c>
      <c r="C13" s="1" t="n">
        <v>45292</v>
      </c>
      <c r="D13" t="inlineStr">
        <is>
          <t>VÄSTMANLANDS LÄN</t>
        </is>
      </c>
      <c r="E13" t="inlineStr">
        <is>
          <t>FAGERSTA</t>
        </is>
      </c>
      <c r="F13" t="inlineStr">
        <is>
          <t>Bergvik skog väst AB</t>
        </is>
      </c>
      <c r="G13" t="n">
        <v>33.1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Kungsörn</t>
        </is>
      </c>
      <c r="S13">
        <f>HYPERLINK("https://klasma.github.io/Logging_1982/artfynd/A 15631-2023 artfynd.xlsx", "A 15631-2023")</f>
        <v/>
      </c>
      <c r="T13">
        <f>HYPERLINK("https://klasma.github.io/Logging_1982/kartor/A 15631-2023 karta.png", "A 15631-2023")</f>
        <v/>
      </c>
      <c r="V13">
        <f>HYPERLINK("https://klasma.github.io/Logging_1982/klagomål/A 15631-2023 FSC-klagomål.docx", "A 15631-2023")</f>
        <v/>
      </c>
      <c r="W13">
        <f>HYPERLINK("https://klasma.github.io/Logging_1982/klagomålsmail/A 15631-2023 FSC-klagomål mail.docx", "A 15631-2023")</f>
        <v/>
      </c>
      <c r="X13">
        <f>HYPERLINK("https://klasma.github.io/Logging_1982/tillsyn/A 15631-2023 tillsynsbegäran.docx", "A 15631-2023")</f>
        <v/>
      </c>
      <c r="Y13">
        <f>HYPERLINK("https://klasma.github.io/Logging_1982/tillsynsmail/A 15631-2023 tillsynsbegäran mail.docx", "A 15631-2023")</f>
        <v/>
      </c>
    </row>
    <row r="14" ht="15" customHeight="1">
      <c r="A14" t="inlineStr">
        <is>
          <t>A 47813-2018</t>
        </is>
      </c>
      <c r="B14" s="1" t="n">
        <v>43370</v>
      </c>
      <c r="C14" s="1" t="n">
        <v>45292</v>
      </c>
      <c r="D14" t="inlineStr">
        <is>
          <t>VÄSTMANLANDS LÄN</t>
        </is>
      </c>
      <c r="E14" t="inlineStr">
        <is>
          <t>FAGERSTA</t>
        </is>
      </c>
      <c r="G14" t="n">
        <v>2.2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66627-2018</t>
        </is>
      </c>
      <c r="B15" s="1" t="n">
        <v>43437</v>
      </c>
      <c r="C15" s="1" t="n">
        <v>45292</v>
      </c>
      <c r="D15" t="inlineStr">
        <is>
          <t>VÄSTMANLANDS LÄN</t>
        </is>
      </c>
      <c r="E15" t="inlineStr">
        <is>
          <t>FAGERSTA</t>
        </is>
      </c>
      <c r="F15" t="inlineStr">
        <is>
          <t>Sveaskog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67645-2018</t>
        </is>
      </c>
      <c r="B16" s="1" t="n">
        <v>43440</v>
      </c>
      <c r="C16" s="1" t="n">
        <v>45292</v>
      </c>
      <c r="D16" t="inlineStr">
        <is>
          <t>VÄSTMANLANDS LÄN</t>
        </is>
      </c>
      <c r="E16" t="inlineStr">
        <is>
          <t>FAGERSTA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3085-2019</t>
        </is>
      </c>
      <c r="B17" s="1" t="n">
        <v>43479</v>
      </c>
      <c r="C17" s="1" t="n">
        <v>45292</v>
      </c>
      <c r="D17" t="inlineStr">
        <is>
          <t>VÄSTMANLANDS LÄN</t>
        </is>
      </c>
      <c r="E17" t="inlineStr">
        <is>
          <t>FAGERSTA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12244-2019</t>
        </is>
      </c>
      <c r="B18" s="1" t="n">
        <v>43522</v>
      </c>
      <c r="C18" s="1" t="n">
        <v>45292</v>
      </c>
      <c r="D18" t="inlineStr">
        <is>
          <t>VÄSTMANLANDS LÄN</t>
        </is>
      </c>
      <c r="E18" t="inlineStr">
        <is>
          <t>FAGERSTA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17575-2019</t>
        </is>
      </c>
      <c r="B19" s="1" t="n">
        <v>43553</v>
      </c>
      <c r="C19" s="1" t="n">
        <v>45292</v>
      </c>
      <c r="D19" t="inlineStr">
        <is>
          <t>VÄSTMANLANDS LÄN</t>
        </is>
      </c>
      <c r="E19" t="inlineStr">
        <is>
          <t>FAGERSTA</t>
        </is>
      </c>
      <c r="G19" t="n">
        <v>9.9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19127-2019</t>
        </is>
      </c>
      <c r="B20" s="1" t="n">
        <v>43564</v>
      </c>
      <c r="C20" s="1" t="n">
        <v>45292</v>
      </c>
      <c r="D20" t="inlineStr">
        <is>
          <t>VÄSTMANLANDS LÄN</t>
        </is>
      </c>
      <c r="E20" t="inlineStr">
        <is>
          <t>FAGERSTA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20412-2019</t>
        </is>
      </c>
      <c r="B21" s="1" t="n">
        <v>43571</v>
      </c>
      <c r="C21" s="1" t="n">
        <v>45292</v>
      </c>
      <c r="D21" t="inlineStr">
        <is>
          <t>VÄSTMANLANDS LÄN</t>
        </is>
      </c>
      <c r="E21" t="inlineStr">
        <is>
          <t>FAGERSTA</t>
        </is>
      </c>
      <c r="G21" t="n">
        <v>6.8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23890-2019</t>
        </is>
      </c>
      <c r="B22" s="1" t="n">
        <v>43595</v>
      </c>
      <c r="C22" s="1" t="n">
        <v>45292</v>
      </c>
      <c r="D22" t="inlineStr">
        <is>
          <t>VÄSTMANLANDS LÄN</t>
        </is>
      </c>
      <c r="E22" t="inlineStr">
        <is>
          <t>FAGERSTA</t>
        </is>
      </c>
      <c r="F22" t="inlineStr">
        <is>
          <t>Sveaskog</t>
        </is>
      </c>
      <c r="G22" t="n">
        <v>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33440-2019</t>
        </is>
      </c>
      <c r="B23" s="1" t="n">
        <v>43650</v>
      </c>
      <c r="C23" s="1" t="n">
        <v>45292</v>
      </c>
      <c r="D23" t="inlineStr">
        <is>
          <t>VÄSTMANLANDS LÄN</t>
        </is>
      </c>
      <c r="E23" t="inlineStr">
        <is>
          <t>FAGERSTA</t>
        </is>
      </c>
      <c r="G23" t="n">
        <v>4.4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36069-2019</t>
        </is>
      </c>
      <c r="B24" s="1" t="n">
        <v>43668</v>
      </c>
      <c r="C24" s="1" t="n">
        <v>45292</v>
      </c>
      <c r="D24" t="inlineStr">
        <is>
          <t>VÄSTMANLANDS LÄN</t>
        </is>
      </c>
      <c r="E24" t="inlineStr">
        <is>
          <t>FAGERSTA</t>
        </is>
      </c>
      <c r="G24" t="n">
        <v>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38387-2019</t>
        </is>
      </c>
      <c r="B25" s="1" t="n">
        <v>43685</v>
      </c>
      <c r="C25" s="1" t="n">
        <v>45292</v>
      </c>
      <c r="D25" t="inlineStr">
        <is>
          <t>VÄSTMANLANDS LÄN</t>
        </is>
      </c>
      <c r="E25" t="inlineStr">
        <is>
          <t>FAGERSTA</t>
        </is>
      </c>
      <c r="F25" t="inlineStr">
        <is>
          <t>Övriga Aktiebolag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48211-2019</t>
        </is>
      </c>
      <c r="B26" s="1" t="n">
        <v>43726</v>
      </c>
      <c r="C26" s="1" t="n">
        <v>45292</v>
      </c>
      <c r="D26" t="inlineStr">
        <is>
          <t>VÄSTMANLANDS LÄN</t>
        </is>
      </c>
      <c r="E26" t="inlineStr">
        <is>
          <t>FAGERSTA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52323-2019</t>
        </is>
      </c>
      <c r="B27" s="1" t="n">
        <v>43745</v>
      </c>
      <c r="C27" s="1" t="n">
        <v>45292</v>
      </c>
      <c r="D27" t="inlineStr">
        <is>
          <t>VÄSTMANLANDS LÄN</t>
        </is>
      </c>
      <c r="E27" t="inlineStr">
        <is>
          <t>FAGERSTA</t>
        </is>
      </c>
      <c r="F27" t="inlineStr">
        <is>
          <t>Sveaskog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62199-2019</t>
        </is>
      </c>
      <c r="B28" s="1" t="n">
        <v>43788</v>
      </c>
      <c r="C28" s="1" t="n">
        <v>45292</v>
      </c>
      <c r="D28" t="inlineStr">
        <is>
          <t>VÄSTMANLANDS LÄN</t>
        </is>
      </c>
      <c r="E28" t="inlineStr">
        <is>
          <t>FAGERSTA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62198-2019</t>
        </is>
      </c>
      <c r="B29" s="1" t="n">
        <v>43788</v>
      </c>
      <c r="C29" s="1" t="n">
        <v>45292</v>
      </c>
      <c r="D29" t="inlineStr">
        <is>
          <t>VÄSTMANLANDS LÄN</t>
        </is>
      </c>
      <c r="E29" t="inlineStr">
        <is>
          <t>FAGERSTA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5112-2020</t>
        </is>
      </c>
      <c r="B30" s="1" t="n">
        <v>43853</v>
      </c>
      <c r="C30" s="1" t="n">
        <v>45292</v>
      </c>
      <c r="D30" t="inlineStr">
        <is>
          <t>VÄSTMANLANDS LÄN</t>
        </is>
      </c>
      <c r="E30" t="inlineStr">
        <is>
          <t>FAGERSTA</t>
        </is>
      </c>
      <c r="G30" t="n">
        <v>4.4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3889-2020</t>
        </is>
      </c>
      <c r="B31" s="1" t="n">
        <v>43854</v>
      </c>
      <c r="C31" s="1" t="n">
        <v>45292</v>
      </c>
      <c r="D31" t="inlineStr">
        <is>
          <t>VÄSTMANLANDS LÄN</t>
        </is>
      </c>
      <c r="E31" t="inlineStr">
        <is>
          <t>FAGERSTA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8112-2020</t>
        </is>
      </c>
      <c r="B32" s="1" t="n">
        <v>43874</v>
      </c>
      <c r="C32" s="1" t="n">
        <v>45292</v>
      </c>
      <c r="D32" t="inlineStr">
        <is>
          <t>VÄSTMANLANDS LÄN</t>
        </is>
      </c>
      <c r="E32" t="inlineStr">
        <is>
          <t>FAGERSTA</t>
        </is>
      </c>
      <c r="G32" t="n">
        <v>12.5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10013-2020</t>
        </is>
      </c>
      <c r="B33" s="1" t="n">
        <v>43882</v>
      </c>
      <c r="C33" s="1" t="n">
        <v>45292</v>
      </c>
      <c r="D33" t="inlineStr">
        <is>
          <t>VÄSTMANLANDS LÄN</t>
        </is>
      </c>
      <c r="E33" t="inlineStr">
        <is>
          <t>FAGERSTA</t>
        </is>
      </c>
      <c r="F33" t="inlineStr">
        <is>
          <t>Sveaskog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10868-2020</t>
        </is>
      </c>
      <c r="B34" s="1" t="n">
        <v>43889</v>
      </c>
      <c r="C34" s="1" t="n">
        <v>45292</v>
      </c>
      <c r="D34" t="inlineStr">
        <is>
          <t>VÄSTMANLANDS LÄN</t>
        </is>
      </c>
      <c r="E34" t="inlineStr">
        <is>
          <t>FAGERSTA</t>
        </is>
      </c>
      <c r="F34" t="inlineStr">
        <is>
          <t>Övriga Aktiebolag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11186-2020</t>
        </is>
      </c>
      <c r="B35" s="1" t="n">
        <v>43892</v>
      </c>
      <c r="C35" s="1" t="n">
        <v>45292</v>
      </c>
      <c r="D35" t="inlineStr">
        <is>
          <t>VÄSTMANLANDS LÄN</t>
        </is>
      </c>
      <c r="E35" t="inlineStr">
        <is>
          <t>FAGERSTA</t>
        </is>
      </c>
      <c r="F35" t="inlineStr">
        <is>
          <t>Bergvik skog väst AB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12595-2020</t>
        </is>
      </c>
      <c r="B36" s="1" t="n">
        <v>43899</v>
      </c>
      <c r="C36" s="1" t="n">
        <v>45292</v>
      </c>
      <c r="D36" t="inlineStr">
        <is>
          <t>VÄSTMANLANDS LÄN</t>
        </is>
      </c>
      <c r="E36" t="inlineStr">
        <is>
          <t>FAGERSTA</t>
        </is>
      </c>
      <c r="F36" t="inlineStr">
        <is>
          <t>Sveaskog</t>
        </is>
      </c>
      <c r="G36" t="n">
        <v>6.4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25639-2020</t>
        </is>
      </c>
      <c r="B37" s="1" t="n">
        <v>43983</v>
      </c>
      <c r="C37" s="1" t="n">
        <v>45292</v>
      </c>
      <c r="D37" t="inlineStr">
        <is>
          <t>VÄSTMANLANDS LÄN</t>
        </is>
      </c>
      <c r="E37" t="inlineStr">
        <is>
          <t>FAGERSTA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34984-2020</t>
        </is>
      </c>
      <c r="B38" s="1" t="n">
        <v>44039</v>
      </c>
      <c r="C38" s="1" t="n">
        <v>45292</v>
      </c>
      <c r="D38" t="inlineStr">
        <is>
          <t>VÄSTMANLANDS LÄN</t>
        </is>
      </c>
      <c r="E38" t="inlineStr">
        <is>
          <t>FAGERSTA</t>
        </is>
      </c>
      <c r="F38" t="inlineStr">
        <is>
          <t>Sveaskog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35694-2020</t>
        </is>
      </c>
      <c r="B39" s="1" t="n">
        <v>44046</v>
      </c>
      <c r="C39" s="1" t="n">
        <v>45292</v>
      </c>
      <c r="D39" t="inlineStr">
        <is>
          <t>VÄSTMANLANDS LÄN</t>
        </is>
      </c>
      <c r="E39" t="inlineStr">
        <is>
          <t>FAGERSTA</t>
        </is>
      </c>
      <c r="F39" t="inlineStr">
        <is>
          <t>Sveaskog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38556-2020</t>
        </is>
      </c>
      <c r="B40" s="1" t="n">
        <v>44061</v>
      </c>
      <c r="C40" s="1" t="n">
        <v>45292</v>
      </c>
      <c r="D40" t="inlineStr">
        <is>
          <t>VÄSTMANLANDS LÄN</t>
        </is>
      </c>
      <c r="E40" t="inlineStr">
        <is>
          <t>FAGERSTA</t>
        </is>
      </c>
      <c r="F40" t="inlineStr">
        <is>
          <t>Sveaskog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38547-2020</t>
        </is>
      </c>
      <c r="B41" s="1" t="n">
        <v>44061</v>
      </c>
      <c r="C41" s="1" t="n">
        <v>45292</v>
      </c>
      <c r="D41" t="inlineStr">
        <is>
          <t>VÄSTMANLANDS LÄN</t>
        </is>
      </c>
      <c r="E41" t="inlineStr">
        <is>
          <t>FAGERSTA</t>
        </is>
      </c>
      <c r="F41" t="inlineStr">
        <is>
          <t>Sveaskog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39328-2020</t>
        </is>
      </c>
      <c r="B42" s="1" t="n">
        <v>44063</v>
      </c>
      <c r="C42" s="1" t="n">
        <v>45292</v>
      </c>
      <c r="D42" t="inlineStr">
        <is>
          <t>VÄSTMANLANDS LÄN</t>
        </is>
      </c>
      <c r="E42" t="inlineStr">
        <is>
          <t>FAGERSTA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40185-2020</t>
        </is>
      </c>
      <c r="B43" s="1" t="n">
        <v>44068</v>
      </c>
      <c r="C43" s="1" t="n">
        <v>45292</v>
      </c>
      <c r="D43" t="inlineStr">
        <is>
          <t>VÄSTMANLANDS LÄN</t>
        </is>
      </c>
      <c r="E43" t="inlineStr">
        <is>
          <t>FAGERSTA</t>
        </is>
      </c>
      <c r="F43" t="inlineStr">
        <is>
          <t>Sveaskog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40179-2020</t>
        </is>
      </c>
      <c r="B44" s="1" t="n">
        <v>44068</v>
      </c>
      <c r="C44" s="1" t="n">
        <v>45292</v>
      </c>
      <c r="D44" t="inlineStr">
        <is>
          <t>VÄSTMANLANDS LÄN</t>
        </is>
      </c>
      <c r="E44" t="inlineStr">
        <is>
          <t>FAGERSTA</t>
        </is>
      </c>
      <c r="F44" t="inlineStr">
        <is>
          <t>Sveaskog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40170-2020</t>
        </is>
      </c>
      <c r="B45" s="1" t="n">
        <v>44068</v>
      </c>
      <c r="C45" s="1" t="n">
        <v>45292</v>
      </c>
      <c r="D45" t="inlineStr">
        <is>
          <t>VÄSTMANLANDS LÄN</t>
        </is>
      </c>
      <c r="E45" t="inlineStr">
        <is>
          <t>FAGERSTA</t>
        </is>
      </c>
      <c r="F45" t="inlineStr">
        <is>
          <t>Sveaskog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40183-2020</t>
        </is>
      </c>
      <c r="B46" s="1" t="n">
        <v>44068</v>
      </c>
      <c r="C46" s="1" t="n">
        <v>45292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40182-2020</t>
        </is>
      </c>
      <c r="B47" s="1" t="n">
        <v>44068</v>
      </c>
      <c r="C47" s="1" t="n">
        <v>45292</v>
      </c>
      <c r="D47" t="inlineStr">
        <is>
          <t>VÄSTMANLANDS LÄN</t>
        </is>
      </c>
      <c r="E47" t="inlineStr">
        <is>
          <t>FAGERSTA</t>
        </is>
      </c>
      <c r="F47" t="inlineStr">
        <is>
          <t>Sveaskog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41969-2020</t>
        </is>
      </c>
      <c r="B48" s="1" t="n">
        <v>44075</v>
      </c>
      <c r="C48" s="1" t="n">
        <v>45292</v>
      </c>
      <c r="D48" t="inlineStr">
        <is>
          <t>VÄSTMANLANDS LÄN</t>
        </is>
      </c>
      <c r="E48" t="inlineStr">
        <is>
          <t>FAGERSTA</t>
        </is>
      </c>
      <c r="F48" t="inlineStr">
        <is>
          <t>Sveaskog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41971-2020</t>
        </is>
      </c>
      <c r="B49" s="1" t="n">
        <v>44075</v>
      </c>
      <c r="C49" s="1" t="n">
        <v>45292</v>
      </c>
      <c r="D49" t="inlineStr">
        <is>
          <t>VÄSTMANLANDS LÄN</t>
        </is>
      </c>
      <c r="E49" t="inlineStr">
        <is>
          <t>FAGERSTA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44532-2020</t>
        </is>
      </c>
      <c r="B50" s="1" t="n">
        <v>44085</v>
      </c>
      <c r="C50" s="1" t="n">
        <v>45292</v>
      </c>
      <c r="D50" t="inlineStr">
        <is>
          <t>VÄSTMANLANDS LÄN</t>
        </is>
      </c>
      <c r="E50" t="inlineStr">
        <is>
          <t>FAGERSTA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47168-2020</t>
        </is>
      </c>
      <c r="B51" s="1" t="n">
        <v>44097</v>
      </c>
      <c r="C51" s="1" t="n">
        <v>45292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47161-2020</t>
        </is>
      </c>
      <c r="B52" s="1" t="n">
        <v>44097</v>
      </c>
      <c r="C52" s="1" t="n">
        <v>45292</v>
      </c>
      <c r="D52" t="inlineStr">
        <is>
          <t>VÄSTMANLANDS LÄN</t>
        </is>
      </c>
      <c r="E52" t="inlineStr">
        <is>
          <t>FAGERSTA</t>
        </is>
      </c>
      <c r="F52" t="inlineStr">
        <is>
          <t>Sveaskog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47163-2020</t>
        </is>
      </c>
      <c r="B53" s="1" t="n">
        <v>44097</v>
      </c>
      <c r="C53" s="1" t="n">
        <v>45292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47165-2020</t>
        </is>
      </c>
      <c r="B54" s="1" t="n">
        <v>44097</v>
      </c>
      <c r="C54" s="1" t="n">
        <v>45292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48286-2020</t>
        </is>
      </c>
      <c r="B55" s="1" t="n">
        <v>44097</v>
      </c>
      <c r="C55" s="1" t="n">
        <v>45292</v>
      </c>
      <c r="D55" t="inlineStr">
        <is>
          <t>VÄSTMANLANDS LÄN</t>
        </is>
      </c>
      <c r="E55" t="inlineStr">
        <is>
          <t>FAGERSTA</t>
        </is>
      </c>
      <c r="F55" t="inlineStr">
        <is>
          <t>Sveaskog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48313-2020</t>
        </is>
      </c>
      <c r="B56" s="1" t="n">
        <v>44097</v>
      </c>
      <c r="C56" s="1" t="n">
        <v>45292</v>
      </c>
      <c r="D56" t="inlineStr">
        <is>
          <t>VÄSTMANLANDS LÄN</t>
        </is>
      </c>
      <c r="E56" t="inlineStr">
        <is>
          <t>FAGERSTA</t>
        </is>
      </c>
      <c r="F56" t="inlineStr">
        <is>
          <t>Sveaskog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47754-2020</t>
        </is>
      </c>
      <c r="B57" s="1" t="n">
        <v>44098</v>
      </c>
      <c r="C57" s="1" t="n">
        <v>45292</v>
      </c>
      <c r="D57" t="inlineStr">
        <is>
          <t>VÄSTMANLANDS LÄN</t>
        </is>
      </c>
      <c r="E57" t="inlineStr">
        <is>
          <t>FAGERSTA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51624-2020</t>
        </is>
      </c>
      <c r="B58" s="1" t="n">
        <v>44113</v>
      </c>
      <c r="C58" s="1" t="n">
        <v>45292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51618-2020</t>
        </is>
      </c>
      <c r="B59" s="1" t="n">
        <v>44113</v>
      </c>
      <c r="C59" s="1" t="n">
        <v>45292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51634-2020</t>
        </is>
      </c>
      <c r="B60" s="1" t="n">
        <v>44113</v>
      </c>
      <c r="C60" s="1" t="n">
        <v>45292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62686-2020</t>
        </is>
      </c>
      <c r="B61" s="1" t="n">
        <v>44161</v>
      </c>
      <c r="C61" s="1" t="n">
        <v>45292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64306-2020</t>
        </is>
      </c>
      <c r="B62" s="1" t="n">
        <v>44168</v>
      </c>
      <c r="C62" s="1" t="n">
        <v>45292</v>
      </c>
      <c r="D62" t="inlineStr">
        <is>
          <t>VÄSTMANLANDS LÄN</t>
        </is>
      </c>
      <c r="E62" t="inlineStr">
        <is>
          <t>FAGERSTA</t>
        </is>
      </c>
      <c r="F62" t="inlineStr">
        <is>
          <t>Sveaskog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64310-2020</t>
        </is>
      </c>
      <c r="B63" s="1" t="n">
        <v>44168</v>
      </c>
      <c r="C63" s="1" t="n">
        <v>45292</v>
      </c>
      <c r="D63" t="inlineStr">
        <is>
          <t>VÄSTMANLANDS LÄN</t>
        </is>
      </c>
      <c r="E63" t="inlineStr">
        <is>
          <t>FAGERSTA</t>
        </is>
      </c>
      <c r="F63" t="inlineStr">
        <is>
          <t>Sveaskog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65113-2020</t>
        </is>
      </c>
      <c r="B64" s="1" t="n">
        <v>44172</v>
      </c>
      <c r="C64" s="1" t="n">
        <v>45292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65829-2020</t>
        </is>
      </c>
      <c r="B65" s="1" t="n">
        <v>44172</v>
      </c>
      <c r="C65" s="1" t="n">
        <v>45292</v>
      </c>
      <c r="D65" t="inlineStr">
        <is>
          <t>VÄSTMANLANDS LÄN</t>
        </is>
      </c>
      <c r="E65" t="inlineStr">
        <is>
          <t>FAGERSTA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12756-2021</t>
        </is>
      </c>
      <c r="B66" s="1" t="n">
        <v>44270</v>
      </c>
      <c r="C66" s="1" t="n">
        <v>45292</v>
      </c>
      <c r="D66" t="inlineStr">
        <is>
          <t>VÄSTMANLANDS LÄN</t>
        </is>
      </c>
      <c r="E66" t="inlineStr">
        <is>
          <t>FAGERSTA</t>
        </is>
      </c>
      <c r="F66" t="inlineStr">
        <is>
          <t>Sveaskog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14407-2021</t>
        </is>
      </c>
      <c r="B67" s="1" t="n">
        <v>44279</v>
      </c>
      <c r="C67" s="1" t="n">
        <v>45292</v>
      </c>
      <c r="D67" t="inlineStr">
        <is>
          <t>VÄSTMANLANDS LÄN</t>
        </is>
      </c>
      <c r="E67" t="inlineStr">
        <is>
          <t>FAGERSTA</t>
        </is>
      </c>
      <c r="F67" t="inlineStr">
        <is>
          <t>Övriga Aktiebolag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16798-2021</t>
        </is>
      </c>
      <c r="B68" s="1" t="n">
        <v>44295</v>
      </c>
      <c r="C68" s="1" t="n">
        <v>45292</v>
      </c>
      <c r="D68" t="inlineStr">
        <is>
          <t>VÄSTMANLANDS LÄN</t>
        </is>
      </c>
      <c r="E68" t="inlineStr">
        <is>
          <t>FAGERSTA</t>
        </is>
      </c>
      <c r="G68" t="n">
        <v>7.9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17786-2021</t>
        </is>
      </c>
      <c r="B69" s="1" t="n">
        <v>44300</v>
      </c>
      <c r="C69" s="1" t="n">
        <v>45292</v>
      </c>
      <c r="D69" t="inlineStr">
        <is>
          <t>VÄSTMANLANDS LÄN</t>
        </is>
      </c>
      <c r="E69" t="inlineStr">
        <is>
          <t>FAGERSTA</t>
        </is>
      </c>
      <c r="F69" t="inlineStr">
        <is>
          <t>Sveaskog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17778-2021</t>
        </is>
      </c>
      <c r="B70" s="1" t="n">
        <v>44300</v>
      </c>
      <c r="C70" s="1" t="n">
        <v>45292</v>
      </c>
      <c r="D70" t="inlineStr">
        <is>
          <t>VÄSTMANLANDS LÄN</t>
        </is>
      </c>
      <c r="E70" t="inlineStr">
        <is>
          <t>FAGERSTA</t>
        </is>
      </c>
      <c r="F70" t="inlineStr">
        <is>
          <t>Sveaskog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27525-2021</t>
        </is>
      </c>
      <c r="B71" s="1" t="n">
        <v>44351</v>
      </c>
      <c r="C71" s="1" t="n">
        <v>45292</v>
      </c>
      <c r="D71" t="inlineStr">
        <is>
          <t>VÄSTMANLANDS LÄN</t>
        </is>
      </c>
      <c r="E71" t="inlineStr">
        <is>
          <t>FAGERSTA</t>
        </is>
      </c>
      <c r="F71" t="inlineStr">
        <is>
          <t>Sveaskog</t>
        </is>
      </c>
      <c r="G71" t="n">
        <v>9.1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29197-2021</t>
        </is>
      </c>
      <c r="B72" s="1" t="n">
        <v>44359</v>
      </c>
      <c r="C72" s="1" t="n">
        <v>45292</v>
      </c>
      <c r="D72" t="inlineStr">
        <is>
          <t>VÄSTMANLANDS LÄN</t>
        </is>
      </c>
      <c r="E72" t="inlineStr">
        <is>
          <t>FAGERSTA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30503-2021</t>
        </is>
      </c>
      <c r="B73" s="1" t="n">
        <v>44364</v>
      </c>
      <c r="C73" s="1" t="n">
        <v>45292</v>
      </c>
      <c r="D73" t="inlineStr">
        <is>
          <t>VÄSTMANLANDS LÄN</t>
        </is>
      </c>
      <c r="E73" t="inlineStr">
        <is>
          <t>FAGERSTA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34426-2021</t>
        </is>
      </c>
      <c r="B74" s="1" t="n">
        <v>44380</v>
      </c>
      <c r="C74" s="1" t="n">
        <v>45292</v>
      </c>
      <c r="D74" t="inlineStr">
        <is>
          <t>VÄSTMANLANDS LÄN</t>
        </is>
      </c>
      <c r="E74" t="inlineStr">
        <is>
          <t>FAGERSTA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35905-2021</t>
        </is>
      </c>
      <c r="B75" s="1" t="n">
        <v>44387</v>
      </c>
      <c r="C75" s="1" t="n">
        <v>45292</v>
      </c>
      <c r="D75" t="inlineStr">
        <is>
          <t>VÄSTMANLANDS LÄN</t>
        </is>
      </c>
      <c r="E75" t="inlineStr">
        <is>
          <t>FAGERSTA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35896-2021</t>
        </is>
      </c>
      <c r="B76" s="1" t="n">
        <v>44387</v>
      </c>
      <c r="C76" s="1" t="n">
        <v>45292</v>
      </c>
      <c r="D76" t="inlineStr">
        <is>
          <t>VÄSTMANLANDS LÄN</t>
        </is>
      </c>
      <c r="E76" t="inlineStr">
        <is>
          <t>FAGERSTA</t>
        </is>
      </c>
      <c r="G76" t="n">
        <v>6.2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37602-2021</t>
        </is>
      </c>
      <c r="B77" s="1" t="n">
        <v>44399</v>
      </c>
      <c r="C77" s="1" t="n">
        <v>45292</v>
      </c>
      <c r="D77" t="inlineStr">
        <is>
          <t>VÄSTMANLANDS LÄN</t>
        </is>
      </c>
      <c r="E77" t="inlineStr">
        <is>
          <t>FAGERSTA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38126-2021</t>
        </is>
      </c>
      <c r="B78" s="1" t="n">
        <v>44405</v>
      </c>
      <c r="C78" s="1" t="n">
        <v>45292</v>
      </c>
      <c r="D78" t="inlineStr">
        <is>
          <t>VÄSTMANLANDS LÄN</t>
        </is>
      </c>
      <c r="E78" t="inlineStr">
        <is>
          <t>FAGERSTA</t>
        </is>
      </c>
      <c r="F78" t="inlineStr">
        <is>
          <t>Sveaskog</t>
        </is>
      </c>
      <c r="G78" t="n">
        <v>6.1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38128-2021</t>
        </is>
      </c>
      <c r="B79" s="1" t="n">
        <v>44405</v>
      </c>
      <c r="C79" s="1" t="n">
        <v>45292</v>
      </c>
      <c r="D79" t="inlineStr">
        <is>
          <t>VÄSTMANLANDS LÄN</t>
        </is>
      </c>
      <c r="E79" t="inlineStr">
        <is>
          <t>FAGERSTA</t>
        </is>
      </c>
      <c r="F79" t="inlineStr">
        <is>
          <t>Sveaskog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  <c r="U79">
        <f>HYPERLINK("https://klasma.github.io/Logging_1982/knärot/A 38128-2021 karta knärot.png", "A 38128-2021")</f>
        <v/>
      </c>
      <c r="V79">
        <f>HYPERLINK("https://klasma.github.io/Logging_1982/klagomål/A 38128-2021 FSC-klagomål.docx", "A 38128-2021")</f>
        <v/>
      </c>
      <c r="W79">
        <f>HYPERLINK("https://klasma.github.io/Logging_1982/klagomålsmail/A 38128-2021 FSC-klagomål mail.docx", "A 38128-2021")</f>
        <v/>
      </c>
      <c r="X79">
        <f>HYPERLINK("https://klasma.github.io/Logging_1982/tillsyn/A 38128-2021 tillsynsbegäran.docx", "A 38128-2021")</f>
        <v/>
      </c>
      <c r="Y79">
        <f>HYPERLINK("https://klasma.github.io/Logging_1982/tillsynsmail/A 38128-2021 tillsynsbegäran mail.docx", "A 38128-2021")</f>
        <v/>
      </c>
    </row>
    <row r="80" ht="15" customHeight="1">
      <c r="A80" t="inlineStr">
        <is>
          <t>A 41097-2021</t>
        </is>
      </c>
      <c r="B80" s="1" t="n">
        <v>44422</v>
      </c>
      <c r="C80" s="1" t="n">
        <v>45292</v>
      </c>
      <c r="D80" t="inlineStr">
        <is>
          <t>VÄSTMANLANDS LÄN</t>
        </is>
      </c>
      <c r="E80" t="inlineStr">
        <is>
          <t>FAGERSTA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56733-2021</t>
        </is>
      </c>
      <c r="B81" s="1" t="n">
        <v>44481</v>
      </c>
      <c r="C81" s="1" t="n">
        <v>45292</v>
      </c>
      <c r="D81" t="inlineStr">
        <is>
          <t>VÄSTMANLANDS LÄN</t>
        </is>
      </c>
      <c r="E81" t="inlineStr">
        <is>
          <t>FAGERSTA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56739-2021</t>
        </is>
      </c>
      <c r="B82" s="1" t="n">
        <v>44481</v>
      </c>
      <c r="C82" s="1" t="n">
        <v>45292</v>
      </c>
      <c r="D82" t="inlineStr">
        <is>
          <t>VÄSTMANLANDS LÄN</t>
        </is>
      </c>
      <c r="E82" t="inlineStr">
        <is>
          <t>FAGERSTA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62470-2021</t>
        </is>
      </c>
      <c r="B83" s="1" t="n">
        <v>44503</v>
      </c>
      <c r="C83" s="1" t="n">
        <v>45292</v>
      </c>
      <c r="D83" t="inlineStr">
        <is>
          <t>VÄSTMANLANDS LÄN</t>
        </is>
      </c>
      <c r="E83" t="inlineStr">
        <is>
          <t>FAGERSTA</t>
        </is>
      </c>
      <c r="F83" t="inlineStr">
        <is>
          <t>Sveaskog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63756-2021</t>
        </is>
      </c>
      <c r="B84" s="1" t="n">
        <v>44509</v>
      </c>
      <c r="C84" s="1" t="n">
        <v>45292</v>
      </c>
      <c r="D84" t="inlineStr">
        <is>
          <t>VÄSTMANLANDS LÄN</t>
        </is>
      </c>
      <c r="E84" t="inlineStr">
        <is>
          <t>FAGERSTA</t>
        </is>
      </c>
      <c r="F84" t="inlineStr">
        <is>
          <t>Sveaskog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68174-2021</t>
        </is>
      </c>
      <c r="B85" s="1" t="n">
        <v>44526</v>
      </c>
      <c r="C85" s="1" t="n">
        <v>45292</v>
      </c>
      <c r="D85" t="inlineStr">
        <is>
          <t>VÄSTMANLANDS LÄN</t>
        </is>
      </c>
      <c r="E85" t="inlineStr">
        <is>
          <t>FAGERSTA</t>
        </is>
      </c>
      <c r="F85" t="inlineStr">
        <is>
          <t>Kyrkan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69104-2021</t>
        </is>
      </c>
      <c r="B86" s="1" t="n">
        <v>44530</v>
      </c>
      <c r="C86" s="1" t="n">
        <v>45292</v>
      </c>
      <c r="D86" t="inlineStr">
        <is>
          <t>VÄSTMANLANDS LÄN</t>
        </is>
      </c>
      <c r="E86" t="inlineStr">
        <is>
          <t>FAGERSTA</t>
        </is>
      </c>
      <c r="F86" t="inlineStr">
        <is>
          <t>Kommuner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74421-2021</t>
        </is>
      </c>
      <c r="B87" s="1" t="n">
        <v>44533</v>
      </c>
      <c r="C87" s="1" t="n">
        <v>45292</v>
      </c>
      <c r="D87" t="inlineStr">
        <is>
          <t>VÄSTMANLANDS LÄN</t>
        </is>
      </c>
      <c r="E87" t="inlineStr">
        <is>
          <t>FAGERSTA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70012-2021</t>
        </is>
      </c>
      <c r="B88" s="1" t="n">
        <v>44533</v>
      </c>
      <c r="C88" s="1" t="n">
        <v>45292</v>
      </c>
      <c r="D88" t="inlineStr">
        <is>
          <t>VÄSTMANLANDS LÄN</t>
        </is>
      </c>
      <c r="E88" t="inlineStr">
        <is>
          <t>FAGERSTA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74356-2021</t>
        </is>
      </c>
      <c r="B89" s="1" t="n">
        <v>44559</v>
      </c>
      <c r="C89" s="1" t="n">
        <v>45292</v>
      </c>
      <c r="D89" t="inlineStr">
        <is>
          <t>VÄSTMANLANDS LÄN</t>
        </is>
      </c>
      <c r="E89" t="inlineStr">
        <is>
          <t>FAGERSTA</t>
        </is>
      </c>
      <c r="G89" t="n">
        <v>7.9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74423-2021</t>
        </is>
      </c>
      <c r="B90" s="1" t="n">
        <v>44564</v>
      </c>
      <c r="C90" s="1" t="n">
        <v>45292</v>
      </c>
      <c r="D90" t="inlineStr">
        <is>
          <t>VÄSTMANLANDS LÄN</t>
        </is>
      </c>
      <c r="E90" t="inlineStr">
        <is>
          <t>FAGERSTA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74425-2021</t>
        </is>
      </c>
      <c r="B91" s="1" t="n">
        <v>44564</v>
      </c>
      <c r="C91" s="1" t="n">
        <v>45292</v>
      </c>
      <c r="D91" t="inlineStr">
        <is>
          <t>VÄSTMANLANDS LÄN</t>
        </is>
      </c>
      <c r="E91" t="inlineStr">
        <is>
          <t>FAGERSTA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3682-2022</t>
        </is>
      </c>
      <c r="B92" s="1" t="n">
        <v>44586</v>
      </c>
      <c r="C92" s="1" t="n">
        <v>45292</v>
      </c>
      <c r="D92" t="inlineStr">
        <is>
          <t>VÄSTMANLANDS LÄN</t>
        </is>
      </c>
      <c r="E92" t="inlineStr">
        <is>
          <t>FAGERSTA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4205-2022</t>
        </is>
      </c>
      <c r="B93" s="1" t="n">
        <v>44588</v>
      </c>
      <c r="C93" s="1" t="n">
        <v>45292</v>
      </c>
      <c r="D93" t="inlineStr">
        <is>
          <t>VÄSTMANLANDS LÄN</t>
        </is>
      </c>
      <c r="E93" t="inlineStr">
        <is>
          <t>FAGERSTA</t>
        </is>
      </c>
      <c r="F93" t="inlineStr">
        <is>
          <t>Kommuner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17320-2022</t>
        </is>
      </c>
      <c r="B94" s="1" t="n">
        <v>44678</v>
      </c>
      <c r="C94" s="1" t="n">
        <v>45292</v>
      </c>
      <c r="D94" t="inlineStr">
        <is>
          <t>VÄSTMANLANDS LÄN</t>
        </is>
      </c>
      <c r="E94" t="inlineStr">
        <is>
          <t>FAGERSTA</t>
        </is>
      </c>
      <c r="F94" t="inlineStr">
        <is>
          <t>Sveaskog</t>
        </is>
      </c>
      <c r="G94" t="n">
        <v>7.1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17863-2022</t>
        </is>
      </c>
      <c r="B95" s="1" t="n">
        <v>44683</v>
      </c>
      <c r="C95" s="1" t="n">
        <v>45292</v>
      </c>
      <c r="D95" t="inlineStr">
        <is>
          <t>VÄSTMANLANDS LÄN</t>
        </is>
      </c>
      <c r="E95" t="inlineStr">
        <is>
          <t>FAGERSTA</t>
        </is>
      </c>
      <c r="G95" t="n">
        <v>6.5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17865-2022</t>
        </is>
      </c>
      <c r="B96" s="1" t="n">
        <v>44683</v>
      </c>
      <c r="C96" s="1" t="n">
        <v>45292</v>
      </c>
      <c r="D96" t="inlineStr">
        <is>
          <t>VÄSTMANLANDS LÄN</t>
        </is>
      </c>
      <c r="E96" t="inlineStr">
        <is>
          <t>FAGERSTA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17989-2022</t>
        </is>
      </c>
      <c r="B97" s="1" t="n">
        <v>44683</v>
      </c>
      <c r="C97" s="1" t="n">
        <v>45292</v>
      </c>
      <c r="D97" t="inlineStr">
        <is>
          <t>VÄSTMANLANDS LÄN</t>
        </is>
      </c>
      <c r="E97" t="inlineStr">
        <is>
          <t>FAGERSTA</t>
        </is>
      </c>
      <c r="F97" t="inlineStr">
        <is>
          <t>Sveaskog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23781-2022</t>
        </is>
      </c>
      <c r="B98" s="1" t="n">
        <v>44722</v>
      </c>
      <c r="C98" s="1" t="n">
        <v>45292</v>
      </c>
      <c r="D98" t="inlineStr">
        <is>
          <t>VÄSTMANLANDS LÄN</t>
        </is>
      </c>
      <c r="E98" t="inlineStr">
        <is>
          <t>FAGERSTA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25057-2022</t>
        </is>
      </c>
      <c r="B99" s="1" t="n">
        <v>44729</v>
      </c>
      <c r="C99" s="1" t="n">
        <v>45292</v>
      </c>
      <c r="D99" t="inlineStr">
        <is>
          <t>VÄSTMANLANDS LÄN</t>
        </is>
      </c>
      <c r="E99" t="inlineStr">
        <is>
          <t>FAGERSTA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25053-2022</t>
        </is>
      </c>
      <c r="B100" s="1" t="n">
        <v>44729</v>
      </c>
      <c r="C100" s="1" t="n">
        <v>45292</v>
      </c>
      <c r="D100" t="inlineStr">
        <is>
          <t>VÄSTMANLANDS LÄN</t>
        </is>
      </c>
      <c r="E100" t="inlineStr">
        <is>
          <t>FAGERSTA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26509-2022</t>
        </is>
      </c>
      <c r="B101" s="1" t="n">
        <v>44739</v>
      </c>
      <c r="C101" s="1" t="n">
        <v>45292</v>
      </c>
      <c r="D101" t="inlineStr">
        <is>
          <t>VÄSTMANLANDS LÄN</t>
        </is>
      </c>
      <c r="E101" t="inlineStr">
        <is>
          <t>FAGERSTA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28249-2022</t>
        </is>
      </c>
      <c r="B102" s="1" t="n">
        <v>44746</v>
      </c>
      <c r="C102" s="1" t="n">
        <v>45292</v>
      </c>
      <c r="D102" t="inlineStr">
        <is>
          <t>VÄSTMANLANDS LÄN</t>
        </is>
      </c>
      <c r="E102" t="inlineStr">
        <is>
          <t>FAGERSTA</t>
        </is>
      </c>
      <c r="F102" t="inlineStr">
        <is>
          <t>Kommuner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29513-2022</t>
        </is>
      </c>
      <c r="B103" s="1" t="n">
        <v>44753</v>
      </c>
      <c r="C103" s="1" t="n">
        <v>45292</v>
      </c>
      <c r="D103" t="inlineStr">
        <is>
          <t>VÄSTMANLANDS LÄN</t>
        </is>
      </c>
      <c r="E103" t="inlineStr">
        <is>
          <t>FAGERSTA</t>
        </is>
      </c>
      <c r="F103" t="inlineStr">
        <is>
          <t>Sveaskog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29510-2022</t>
        </is>
      </c>
      <c r="B104" s="1" t="n">
        <v>44753</v>
      </c>
      <c r="C104" s="1" t="n">
        <v>45292</v>
      </c>
      <c r="D104" t="inlineStr">
        <is>
          <t>VÄSTMANLANDS LÄN</t>
        </is>
      </c>
      <c r="E104" t="inlineStr">
        <is>
          <t>FAGERSTA</t>
        </is>
      </c>
      <c r="F104" t="inlineStr">
        <is>
          <t>Sveaskog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30813-2022</t>
        </is>
      </c>
      <c r="B105" s="1" t="n">
        <v>44765</v>
      </c>
      <c r="C105" s="1" t="n">
        <v>45292</v>
      </c>
      <c r="D105" t="inlineStr">
        <is>
          <t>VÄSTMANLANDS LÄN</t>
        </is>
      </c>
      <c r="E105" t="inlineStr">
        <is>
          <t>FAGERSTA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30868-2022</t>
        </is>
      </c>
      <c r="B106" s="1" t="n">
        <v>44767</v>
      </c>
      <c r="C106" s="1" t="n">
        <v>45292</v>
      </c>
      <c r="D106" t="inlineStr">
        <is>
          <t>VÄSTMANLANDS LÄN</t>
        </is>
      </c>
      <c r="E106" t="inlineStr">
        <is>
          <t>FAGERSTA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31831-2022</t>
        </is>
      </c>
      <c r="B107" s="1" t="n">
        <v>44776</v>
      </c>
      <c r="C107" s="1" t="n">
        <v>45292</v>
      </c>
      <c r="D107" t="inlineStr">
        <is>
          <t>VÄSTMANLANDS LÄN</t>
        </is>
      </c>
      <c r="E107" t="inlineStr">
        <is>
          <t>FAGERSTA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32249-2022</t>
        </is>
      </c>
      <c r="B108" s="1" t="n">
        <v>44781</v>
      </c>
      <c r="C108" s="1" t="n">
        <v>45292</v>
      </c>
      <c r="D108" t="inlineStr">
        <is>
          <t>VÄSTMANLANDS LÄN</t>
        </is>
      </c>
      <c r="E108" t="inlineStr">
        <is>
          <t>FAGERSTA</t>
        </is>
      </c>
      <c r="F108" t="inlineStr">
        <is>
          <t>Kommuner</t>
        </is>
      </c>
      <c r="G108" t="n">
        <v>22.9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34733-2022</t>
        </is>
      </c>
      <c r="B109" s="1" t="n">
        <v>44795</v>
      </c>
      <c r="C109" s="1" t="n">
        <v>45292</v>
      </c>
      <c r="D109" t="inlineStr">
        <is>
          <t>VÄSTMANLANDS LÄN</t>
        </is>
      </c>
      <c r="E109" t="inlineStr">
        <is>
          <t>FAGERSTA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39214-2022</t>
        </is>
      </c>
      <c r="B110" s="1" t="n">
        <v>44817</v>
      </c>
      <c r="C110" s="1" t="n">
        <v>45292</v>
      </c>
      <c r="D110" t="inlineStr">
        <is>
          <t>VÄSTMANLANDS LÄN</t>
        </is>
      </c>
      <c r="E110" t="inlineStr">
        <is>
          <t>FAGERSTA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40864-2022</t>
        </is>
      </c>
      <c r="B111" s="1" t="n">
        <v>44825</v>
      </c>
      <c r="C111" s="1" t="n">
        <v>45292</v>
      </c>
      <c r="D111" t="inlineStr">
        <is>
          <t>VÄSTMANLANDS LÄN</t>
        </is>
      </c>
      <c r="E111" t="inlineStr">
        <is>
          <t>FAGERSTA</t>
        </is>
      </c>
      <c r="G111" t="n">
        <v>11.3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44711-2022</t>
        </is>
      </c>
      <c r="B112" s="1" t="n">
        <v>44840</v>
      </c>
      <c r="C112" s="1" t="n">
        <v>45292</v>
      </c>
      <c r="D112" t="inlineStr">
        <is>
          <t>VÄSTMANLANDS LÄN</t>
        </is>
      </c>
      <c r="E112" t="inlineStr">
        <is>
          <t>FAGERSTA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44710-2022</t>
        </is>
      </c>
      <c r="B113" s="1" t="n">
        <v>44840</v>
      </c>
      <c r="C113" s="1" t="n">
        <v>45292</v>
      </c>
      <c r="D113" t="inlineStr">
        <is>
          <t>VÄSTMANLANDS LÄN</t>
        </is>
      </c>
      <c r="E113" t="inlineStr">
        <is>
          <t>FAGERSTA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48261-2022</t>
        </is>
      </c>
      <c r="B114" s="1" t="n">
        <v>44858</v>
      </c>
      <c r="C114" s="1" t="n">
        <v>45292</v>
      </c>
      <c r="D114" t="inlineStr">
        <is>
          <t>VÄSTMANLANDS LÄN</t>
        </is>
      </c>
      <c r="E114" t="inlineStr">
        <is>
          <t>FAGERSTA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49311-2022</t>
        </is>
      </c>
      <c r="B115" s="1" t="n">
        <v>44861</v>
      </c>
      <c r="C115" s="1" t="n">
        <v>45292</v>
      </c>
      <c r="D115" t="inlineStr">
        <is>
          <t>VÄSTMANLANDS LÄN</t>
        </is>
      </c>
      <c r="E115" t="inlineStr">
        <is>
          <t>FAGERSTA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51936-2022</t>
        </is>
      </c>
      <c r="B116" s="1" t="n">
        <v>44872</v>
      </c>
      <c r="C116" s="1" t="n">
        <v>45292</v>
      </c>
      <c r="D116" t="inlineStr">
        <is>
          <t>VÄSTMANLANDS LÄN</t>
        </is>
      </c>
      <c r="E116" t="inlineStr">
        <is>
          <t>FAGERSTA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57248-2022</t>
        </is>
      </c>
      <c r="B117" s="1" t="n">
        <v>44895</v>
      </c>
      <c r="C117" s="1" t="n">
        <v>45292</v>
      </c>
      <c r="D117" t="inlineStr">
        <is>
          <t>VÄSTMANLANDS LÄN</t>
        </is>
      </c>
      <c r="E117" t="inlineStr">
        <is>
          <t>FAGERSTA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62095-2022</t>
        </is>
      </c>
      <c r="B118" s="1" t="n">
        <v>44919</v>
      </c>
      <c r="C118" s="1" t="n">
        <v>45292</v>
      </c>
      <c r="D118" t="inlineStr">
        <is>
          <t>VÄSTMANLANDS LÄN</t>
        </is>
      </c>
      <c r="E118" t="inlineStr">
        <is>
          <t>FAGERSTA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4264-2023</t>
        </is>
      </c>
      <c r="B119" s="1" t="n">
        <v>44953</v>
      </c>
      <c r="C119" s="1" t="n">
        <v>45292</v>
      </c>
      <c r="D119" t="inlineStr">
        <is>
          <t>VÄSTMANLANDS LÄN</t>
        </is>
      </c>
      <c r="E119" t="inlineStr">
        <is>
          <t>FAGERSTA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7385-2023</t>
        </is>
      </c>
      <c r="B120" s="1" t="n">
        <v>44971</v>
      </c>
      <c r="C120" s="1" t="n">
        <v>45292</v>
      </c>
      <c r="D120" t="inlineStr">
        <is>
          <t>VÄSTMANLANDS LÄN</t>
        </is>
      </c>
      <c r="E120" t="inlineStr">
        <is>
          <t>FAGERSTA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7396-2023</t>
        </is>
      </c>
      <c r="B121" s="1" t="n">
        <v>44971</v>
      </c>
      <c r="C121" s="1" t="n">
        <v>45292</v>
      </c>
      <c r="D121" t="inlineStr">
        <is>
          <t>VÄSTMANLANDS LÄN</t>
        </is>
      </c>
      <c r="E121" t="inlineStr">
        <is>
          <t>FAGERSTA</t>
        </is>
      </c>
      <c r="G121" t="n">
        <v>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8264-2023</t>
        </is>
      </c>
      <c r="B122" s="1" t="n">
        <v>44974</v>
      </c>
      <c r="C122" s="1" t="n">
        <v>45292</v>
      </c>
      <c r="D122" t="inlineStr">
        <is>
          <t>VÄSTMANLANDS LÄN</t>
        </is>
      </c>
      <c r="E122" t="inlineStr">
        <is>
          <t>FAGERSTA</t>
        </is>
      </c>
      <c r="G122" t="n">
        <v>8.5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10380-2023</t>
        </is>
      </c>
      <c r="B123" s="1" t="n">
        <v>44987</v>
      </c>
      <c r="C123" s="1" t="n">
        <v>45292</v>
      </c>
      <c r="D123" t="inlineStr">
        <is>
          <t>VÄSTMANLANDS LÄN</t>
        </is>
      </c>
      <c r="E123" t="inlineStr">
        <is>
          <t>FAGERSTA</t>
        </is>
      </c>
      <c r="F123" t="inlineStr">
        <is>
          <t>Övriga Aktiebolag</t>
        </is>
      </c>
      <c r="G123" t="n">
        <v>13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10851-2023</t>
        </is>
      </c>
      <c r="B124" s="1" t="n">
        <v>44991</v>
      </c>
      <c r="C124" s="1" t="n">
        <v>45292</v>
      </c>
      <c r="D124" t="inlineStr">
        <is>
          <t>VÄSTMANLANDS LÄN</t>
        </is>
      </c>
      <c r="E124" t="inlineStr">
        <is>
          <t>FAGERSTA</t>
        </is>
      </c>
      <c r="F124" t="inlineStr">
        <is>
          <t>Övriga Aktiebolag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11748-2023</t>
        </is>
      </c>
      <c r="B125" s="1" t="n">
        <v>44994</v>
      </c>
      <c r="C125" s="1" t="n">
        <v>45292</v>
      </c>
      <c r="D125" t="inlineStr">
        <is>
          <t>VÄSTMANLANDS LÄN</t>
        </is>
      </c>
      <c r="E125" t="inlineStr">
        <is>
          <t>FAGERSTA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11660-2023</t>
        </is>
      </c>
      <c r="B126" s="1" t="n">
        <v>44994</v>
      </c>
      <c r="C126" s="1" t="n">
        <v>45292</v>
      </c>
      <c r="D126" t="inlineStr">
        <is>
          <t>VÄSTMANLANDS LÄN</t>
        </is>
      </c>
      <c r="E126" t="inlineStr">
        <is>
          <t>FAGERSTA</t>
        </is>
      </c>
      <c r="F126" t="inlineStr">
        <is>
          <t>Kommuner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11757-2023</t>
        </is>
      </c>
      <c r="B127" s="1" t="n">
        <v>44994</v>
      </c>
      <c r="C127" s="1" t="n">
        <v>45292</v>
      </c>
      <c r="D127" t="inlineStr">
        <is>
          <t>VÄSTMANLANDS LÄN</t>
        </is>
      </c>
      <c r="E127" t="inlineStr">
        <is>
          <t>FAGERSTA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12121-2023</t>
        </is>
      </c>
      <c r="B128" s="1" t="n">
        <v>44998</v>
      </c>
      <c r="C128" s="1" t="n">
        <v>45292</v>
      </c>
      <c r="D128" t="inlineStr">
        <is>
          <t>VÄSTMANLANDS LÄN</t>
        </is>
      </c>
      <c r="E128" t="inlineStr">
        <is>
          <t>FAGERSTA</t>
        </is>
      </c>
      <c r="F128" t="inlineStr">
        <is>
          <t>Övriga Aktiebolag</t>
        </is>
      </c>
      <c r="G128" t="n">
        <v>6.9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12125-2023</t>
        </is>
      </c>
      <c r="B129" s="1" t="n">
        <v>44998</v>
      </c>
      <c r="C129" s="1" t="n">
        <v>45292</v>
      </c>
      <c r="D129" t="inlineStr">
        <is>
          <t>VÄSTMANLANDS LÄN</t>
        </is>
      </c>
      <c r="E129" t="inlineStr">
        <is>
          <t>FAGERSTA</t>
        </is>
      </c>
      <c r="F129" t="inlineStr">
        <is>
          <t>Övriga Aktiebolag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15297-2023</t>
        </is>
      </c>
      <c r="B130" s="1" t="n">
        <v>45019</v>
      </c>
      <c r="C130" s="1" t="n">
        <v>45292</v>
      </c>
      <c r="D130" t="inlineStr">
        <is>
          <t>VÄSTMANLANDS LÄN</t>
        </is>
      </c>
      <c r="E130" t="inlineStr">
        <is>
          <t>FAGERSTA</t>
        </is>
      </c>
      <c r="F130" t="inlineStr">
        <is>
          <t>Övriga Aktiebolag</t>
        </is>
      </c>
      <c r="G130" t="n">
        <v>26.3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18187-2023</t>
        </is>
      </c>
      <c r="B131" s="1" t="n">
        <v>45041</v>
      </c>
      <c r="C131" s="1" t="n">
        <v>45292</v>
      </c>
      <c r="D131" t="inlineStr">
        <is>
          <t>VÄSTMANLANDS LÄN</t>
        </is>
      </c>
      <c r="E131" t="inlineStr">
        <is>
          <t>FAGERSTA</t>
        </is>
      </c>
      <c r="F131" t="inlineStr">
        <is>
          <t>Sveaskog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18186-2023</t>
        </is>
      </c>
      <c r="B132" s="1" t="n">
        <v>45041</v>
      </c>
      <c r="C132" s="1" t="n">
        <v>45292</v>
      </c>
      <c r="D132" t="inlineStr">
        <is>
          <t>VÄSTMANLANDS LÄN</t>
        </is>
      </c>
      <c r="E132" t="inlineStr">
        <is>
          <t>FAGERSTA</t>
        </is>
      </c>
      <c r="F132" t="inlineStr">
        <is>
          <t>Sveaskog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18184-2023</t>
        </is>
      </c>
      <c r="B133" s="1" t="n">
        <v>45041</v>
      </c>
      <c r="C133" s="1" t="n">
        <v>45292</v>
      </c>
      <c r="D133" t="inlineStr">
        <is>
          <t>VÄSTMANLANDS LÄN</t>
        </is>
      </c>
      <c r="E133" t="inlineStr">
        <is>
          <t>FAGERSTA</t>
        </is>
      </c>
      <c r="F133" t="inlineStr">
        <is>
          <t>Sveaskog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18188-2023</t>
        </is>
      </c>
      <c r="B134" s="1" t="n">
        <v>45041</v>
      </c>
      <c r="C134" s="1" t="n">
        <v>45292</v>
      </c>
      <c r="D134" t="inlineStr">
        <is>
          <t>VÄSTMANLANDS LÄN</t>
        </is>
      </c>
      <c r="E134" t="inlineStr">
        <is>
          <t>FAGERSTA</t>
        </is>
      </c>
      <c r="F134" t="inlineStr">
        <is>
          <t>Sveaskog</t>
        </is>
      </c>
      <c r="G134" t="n">
        <v>13.2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19218-2023</t>
        </is>
      </c>
      <c r="B135" s="1" t="n">
        <v>45048</v>
      </c>
      <c r="C135" s="1" t="n">
        <v>45292</v>
      </c>
      <c r="D135" t="inlineStr">
        <is>
          <t>VÄSTMANLANDS LÄN</t>
        </is>
      </c>
      <c r="E135" t="inlineStr">
        <is>
          <t>FAGERSTA</t>
        </is>
      </c>
      <c r="F135" t="inlineStr">
        <is>
          <t>Sveaskog</t>
        </is>
      </c>
      <c r="G135" t="n">
        <v>9.5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19991-2023</t>
        </is>
      </c>
      <c r="B136" s="1" t="n">
        <v>45054</v>
      </c>
      <c r="C136" s="1" t="n">
        <v>45292</v>
      </c>
      <c r="D136" t="inlineStr">
        <is>
          <t>VÄSTMANLANDS LÄN</t>
        </is>
      </c>
      <c r="E136" t="inlineStr">
        <is>
          <t>FAGERSTA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20071-2023</t>
        </is>
      </c>
      <c r="B137" s="1" t="n">
        <v>45054</v>
      </c>
      <c r="C137" s="1" t="n">
        <v>45292</v>
      </c>
      <c r="D137" t="inlineStr">
        <is>
          <t>VÄSTMANLANDS LÄN</t>
        </is>
      </c>
      <c r="E137" t="inlineStr">
        <is>
          <t>FAGERSTA</t>
        </is>
      </c>
      <c r="F137" t="inlineStr">
        <is>
          <t>Sveaskog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22391-2023</t>
        </is>
      </c>
      <c r="B138" s="1" t="n">
        <v>45069</v>
      </c>
      <c r="C138" s="1" t="n">
        <v>45292</v>
      </c>
      <c r="D138" t="inlineStr">
        <is>
          <t>VÄSTMANLANDS LÄN</t>
        </is>
      </c>
      <c r="E138" t="inlineStr">
        <is>
          <t>FAGERSTA</t>
        </is>
      </c>
      <c r="G138" t="n">
        <v>6.5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22482-2023</t>
        </is>
      </c>
      <c r="B139" s="1" t="n">
        <v>45071</v>
      </c>
      <c r="C139" s="1" t="n">
        <v>45292</v>
      </c>
      <c r="D139" t="inlineStr">
        <is>
          <t>VÄSTMANLANDS LÄN</t>
        </is>
      </c>
      <c r="E139" t="inlineStr">
        <is>
          <t>FAGERSTA</t>
        </is>
      </c>
      <c r="F139" t="inlineStr">
        <is>
          <t>Sveaskog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22484-2023</t>
        </is>
      </c>
      <c r="B140" s="1" t="n">
        <v>45071</v>
      </c>
      <c r="C140" s="1" t="n">
        <v>45292</v>
      </c>
      <c r="D140" t="inlineStr">
        <is>
          <t>VÄSTMANLANDS LÄN</t>
        </is>
      </c>
      <c r="E140" t="inlineStr">
        <is>
          <t>FAGERSTA</t>
        </is>
      </c>
      <c r="F140" t="inlineStr">
        <is>
          <t>Sveaskog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22485-2023</t>
        </is>
      </c>
      <c r="B141" s="1" t="n">
        <v>45071</v>
      </c>
      <c r="C141" s="1" t="n">
        <v>45292</v>
      </c>
      <c r="D141" t="inlineStr">
        <is>
          <t>VÄSTMANLANDS LÄN</t>
        </is>
      </c>
      <c r="E141" t="inlineStr">
        <is>
          <t>FAGERSTA</t>
        </is>
      </c>
      <c r="F141" t="inlineStr">
        <is>
          <t>Sveaskog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22483-2023</t>
        </is>
      </c>
      <c r="B142" s="1" t="n">
        <v>45071</v>
      </c>
      <c r="C142" s="1" t="n">
        <v>45292</v>
      </c>
      <c r="D142" t="inlineStr">
        <is>
          <t>VÄSTMANLANDS LÄN</t>
        </is>
      </c>
      <c r="E142" t="inlineStr">
        <is>
          <t>FAGERSTA</t>
        </is>
      </c>
      <c r="F142" t="inlineStr">
        <is>
          <t>Sveaskog</t>
        </is>
      </c>
      <c r="G142" t="n">
        <v>7.3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22817-2023</t>
        </is>
      </c>
      <c r="B143" s="1" t="n">
        <v>45072</v>
      </c>
      <c r="C143" s="1" t="n">
        <v>45292</v>
      </c>
      <c r="D143" t="inlineStr">
        <is>
          <t>VÄSTMANLANDS LÄN</t>
        </is>
      </c>
      <c r="E143" t="inlineStr">
        <is>
          <t>FAGERSTA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27201-2023</t>
        </is>
      </c>
      <c r="B144" s="1" t="n">
        <v>45096</v>
      </c>
      <c r="C144" s="1" t="n">
        <v>45292</v>
      </c>
      <c r="D144" t="inlineStr">
        <is>
          <t>VÄSTMANLANDS LÄN</t>
        </is>
      </c>
      <c r="E144" t="inlineStr">
        <is>
          <t>FAGERSTA</t>
        </is>
      </c>
      <c r="F144" t="inlineStr">
        <is>
          <t>Övriga Aktiebolag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27747-2023</t>
        </is>
      </c>
      <c r="B145" s="1" t="n">
        <v>45098</v>
      </c>
      <c r="C145" s="1" t="n">
        <v>45292</v>
      </c>
      <c r="D145" t="inlineStr">
        <is>
          <t>VÄSTMANLANDS LÄN</t>
        </is>
      </c>
      <c r="E145" t="inlineStr">
        <is>
          <t>FAGERSTA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27731-2023</t>
        </is>
      </c>
      <c r="B146" s="1" t="n">
        <v>45098</v>
      </c>
      <c r="C146" s="1" t="n">
        <v>45292</v>
      </c>
      <c r="D146" t="inlineStr">
        <is>
          <t>VÄSTMANLANDS LÄN</t>
        </is>
      </c>
      <c r="E146" t="inlineStr">
        <is>
          <t>FAGERSTA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27737-2023</t>
        </is>
      </c>
      <c r="B147" s="1" t="n">
        <v>45098</v>
      </c>
      <c r="C147" s="1" t="n">
        <v>45292</v>
      </c>
      <c r="D147" t="inlineStr">
        <is>
          <t>VÄSTMANLANDS LÄN</t>
        </is>
      </c>
      <c r="E147" t="inlineStr">
        <is>
          <t>FAGERSTA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28794-2023</t>
        </is>
      </c>
      <c r="B148" s="1" t="n">
        <v>45104</v>
      </c>
      <c r="C148" s="1" t="n">
        <v>45292</v>
      </c>
      <c r="D148" t="inlineStr">
        <is>
          <t>VÄSTMANLANDS LÄN</t>
        </is>
      </c>
      <c r="E148" t="inlineStr">
        <is>
          <t>FAGERSTA</t>
        </is>
      </c>
      <c r="G148" t="n">
        <v>12.2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30630-2023</t>
        </is>
      </c>
      <c r="B149" s="1" t="n">
        <v>45112</v>
      </c>
      <c r="C149" s="1" t="n">
        <v>45292</v>
      </c>
      <c r="D149" t="inlineStr">
        <is>
          <t>VÄSTMANLANDS LÄN</t>
        </is>
      </c>
      <c r="E149" t="inlineStr">
        <is>
          <t>FAGERSTA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33007-2023</t>
        </is>
      </c>
      <c r="B150" s="1" t="n">
        <v>45125</v>
      </c>
      <c r="C150" s="1" t="n">
        <v>45292</v>
      </c>
      <c r="D150" t="inlineStr">
        <is>
          <t>VÄSTMANLANDS LÄN</t>
        </is>
      </c>
      <c r="E150" t="inlineStr">
        <is>
          <t>FAGERSTA</t>
        </is>
      </c>
      <c r="F150" t="inlineStr">
        <is>
          <t>Sveaskog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33357-2023</t>
        </is>
      </c>
      <c r="B151" s="1" t="n">
        <v>45128</v>
      </c>
      <c r="C151" s="1" t="n">
        <v>45292</v>
      </c>
      <c r="D151" t="inlineStr">
        <is>
          <t>VÄSTMANLANDS LÄN</t>
        </is>
      </c>
      <c r="E151" t="inlineStr">
        <is>
          <t>FAGERSTA</t>
        </is>
      </c>
      <c r="F151" t="inlineStr">
        <is>
          <t>Sveaskog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33356-2023</t>
        </is>
      </c>
      <c r="B152" s="1" t="n">
        <v>45128</v>
      </c>
      <c r="C152" s="1" t="n">
        <v>45292</v>
      </c>
      <c r="D152" t="inlineStr">
        <is>
          <t>VÄSTMANLANDS LÄN</t>
        </is>
      </c>
      <c r="E152" t="inlineStr">
        <is>
          <t>FAGERSTA</t>
        </is>
      </c>
      <c r="F152" t="inlineStr">
        <is>
          <t>Sveaskog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33785-2023</t>
        </is>
      </c>
      <c r="B153" s="1" t="n">
        <v>45131</v>
      </c>
      <c r="C153" s="1" t="n">
        <v>45292</v>
      </c>
      <c r="D153" t="inlineStr">
        <is>
          <t>VÄSTMANLANDS LÄN</t>
        </is>
      </c>
      <c r="E153" t="inlineStr">
        <is>
          <t>FAGERSTA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34602-2023</t>
        </is>
      </c>
      <c r="B154" s="1" t="n">
        <v>45140</v>
      </c>
      <c r="C154" s="1" t="n">
        <v>45292</v>
      </c>
      <c r="D154" t="inlineStr">
        <is>
          <t>VÄSTMANLANDS LÄN</t>
        </is>
      </c>
      <c r="E154" t="inlineStr">
        <is>
          <t>FAGERSTA</t>
        </is>
      </c>
      <c r="F154" t="inlineStr">
        <is>
          <t>Sveaskog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34600-2023</t>
        </is>
      </c>
      <c r="B155" s="1" t="n">
        <v>45140</v>
      </c>
      <c r="C155" s="1" t="n">
        <v>45292</v>
      </c>
      <c r="D155" t="inlineStr">
        <is>
          <t>VÄSTMANLANDS LÄN</t>
        </is>
      </c>
      <c r="E155" t="inlineStr">
        <is>
          <t>FAGERSTA</t>
        </is>
      </c>
      <c r="F155" t="inlineStr">
        <is>
          <t>Sveaskog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34604-2023</t>
        </is>
      </c>
      <c r="B156" s="1" t="n">
        <v>45140</v>
      </c>
      <c r="C156" s="1" t="n">
        <v>45292</v>
      </c>
      <c r="D156" t="inlineStr">
        <is>
          <t>VÄSTMANLANDS LÄN</t>
        </is>
      </c>
      <c r="E156" t="inlineStr">
        <is>
          <t>FAGERSTA</t>
        </is>
      </c>
      <c r="F156" t="inlineStr">
        <is>
          <t>Sveaskog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34599-2023</t>
        </is>
      </c>
      <c r="B157" s="1" t="n">
        <v>45140</v>
      </c>
      <c r="C157" s="1" t="n">
        <v>45292</v>
      </c>
      <c r="D157" t="inlineStr">
        <is>
          <t>VÄSTMANLANDS LÄN</t>
        </is>
      </c>
      <c r="E157" t="inlineStr">
        <is>
          <t>FAGERSTA</t>
        </is>
      </c>
      <c r="F157" t="inlineStr">
        <is>
          <t>Sveaskog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34603-2023</t>
        </is>
      </c>
      <c r="B158" s="1" t="n">
        <v>45140</v>
      </c>
      <c r="C158" s="1" t="n">
        <v>45292</v>
      </c>
      <c r="D158" t="inlineStr">
        <is>
          <t>VÄSTMANLANDS LÄN</t>
        </is>
      </c>
      <c r="E158" t="inlineStr">
        <is>
          <t>FAGERSTA</t>
        </is>
      </c>
      <c r="F158" t="inlineStr">
        <is>
          <t>Sveaskog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34605-2023</t>
        </is>
      </c>
      <c r="B159" s="1" t="n">
        <v>45140</v>
      </c>
      <c r="C159" s="1" t="n">
        <v>45292</v>
      </c>
      <c r="D159" t="inlineStr">
        <is>
          <t>VÄSTMANLANDS LÄN</t>
        </is>
      </c>
      <c r="E159" t="inlineStr">
        <is>
          <t>FAGERSTA</t>
        </is>
      </c>
      <c r="F159" t="inlineStr">
        <is>
          <t>Sveaskog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34942-2023</t>
        </is>
      </c>
      <c r="B160" s="1" t="n">
        <v>45142</v>
      </c>
      <c r="C160" s="1" t="n">
        <v>45292</v>
      </c>
      <c r="D160" t="inlineStr">
        <is>
          <t>VÄSTMANLANDS LÄN</t>
        </is>
      </c>
      <c r="E160" t="inlineStr">
        <is>
          <t>FAGERSTA</t>
        </is>
      </c>
      <c r="F160" t="inlineStr">
        <is>
          <t>Sveaskog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37411-2023</t>
        </is>
      </c>
      <c r="B161" s="1" t="n">
        <v>45156</v>
      </c>
      <c r="C161" s="1" t="n">
        <v>45292</v>
      </c>
      <c r="D161" t="inlineStr">
        <is>
          <t>VÄSTMANLANDS LÄN</t>
        </is>
      </c>
      <c r="E161" t="inlineStr">
        <is>
          <t>FAGERSTA</t>
        </is>
      </c>
      <c r="F161" t="inlineStr">
        <is>
          <t>Bergvik skog väst AB</t>
        </is>
      </c>
      <c r="G161" t="n">
        <v>7.8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37955-2023</t>
        </is>
      </c>
      <c r="B162" s="1" t="n">
        <v>45160</v>
      </c>
      <c r="C162" s="1" t="n">
        <v>45292</v>
      </c>
      <c r="D162" t="inlineStr">
        <is>
          <t>VÄSTMANLANDS LÄN</t>
        </is>
      </c>
      <c r="E162" t="inlineStr">
        <is>
          <t>FAGERSTA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41491-2023</t>
        </is>
      </c>
      <c r="B163" s="1" t="n">
        <v>45175</v>
      </c>
      <c r="C163" s="1" t="n">
        <v>45292</v>
      </c>
      <c r="D163" t="inlineStr">
        <is>
          <t>VÄSTMANLANDS LÄN</t>
        </is>
      </c>
      <c r="E163" t="inlineStr">
        <is>
          <t>FAGERSTA</t>
        </is>
      </c>
      <c r="F163" t="inlineStr">
        <is>
          <t>Kommuner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46006-2023</t>
        </is>
      </c>
      <c r="B164" s="1" t="n">
        <v>45189</v>
      </c>
      <c r="C164" s="1" t="n">
        <v>45292</v>
      </c>
      <c r="D164" t="inlineStr">
        <is>
          <t>VÄSTMANLANDS LÄN</t>
        </is>
      </c>
      <c r="E164" t="inlineStr">
        <is>
          <t>FAGERSTA</t>
        </is>
      </c>
      <c r="G164" t="n">
        <v>6.4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45390-2023</t>
        </is>
      </c>
      <c r="B165" s="1" t="n">
        <v>45194</v>
      </c>
      <c r="C165" s="1" t="n">
        <v>45292</v>
      </c>
      <c r="D165" t="inlineStr">
        <is>
          <t>VÄSTMANLANDS LÄN</t>
        </is>
      </c>
      <c r="E165" t="inlineStr">
        <is>
          <t>FAGERSTA</t>
        </is>
      </c>
      <c r="G165" t="n">
        <v>8.4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48737-2023</t>
        </is>
      </c>
      <c r="B166" s="1" t="n">
        <v>45208</v>
      </c>
      <c r="C166" s="1" t="n">
        <v>45292</v>
      </c>
      <c r="D166" t="inlineStr">
        <is>
          <t>VÄSTMANLANDS LÄN</t>
        </is>
      </c>
      <c r="E166" t="inlineStr">
        <is>
          <t>FAGERSTA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51579-2023</t>
        </is>
      </c>
      <c r="B167" s="1" t="n">
        <v>45222</v>
      </c>
      <c r="C167" s="1" t="n">
        <v>45292</v>
      </c>
      <c r="D167" t="inlineStr">
        <is>
          <t>VÄSTMANLANDS LÄN</t>
        </is>
      </c>
      <c r="E167" t="inlineStr">
        <is>
          <t>FAGERSTA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51586-2023</t>
        </is>
      </c>
      <c r="B168" s="1" t="n">
        <v>45222</v>
      </c>
      <c r="C168" s="1" t="n">
        <v>45292</v>
      </c>
      <c r="D168" t="inlineStr">
        <is>
          <t>VÄSTMANLANDS LÄN</t>
        </is>
      </c>
      <c r="E168" t="inlineStr">
        <is>
          <t>FAGERSTA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54804-2023</t>
        </is>
      </c>
      <c r="B169" s="1" t="n">
        <v>45236</v>
      </c>
      <c r="C169" s="1" t="n">
        <v>45292</v>
      </c>
      <c r="D169" t="inlineStr">
        <is>
          <t>VÄSTMANLANDS LÄN</t>
        </is>
      </c>
      <c r="E169" t="inlineStr">
        <is>
          <t>FAGERSTA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57855-2023</t>
        </is>
      </c>
      <c r="B170" s="1" t="n">
        <v>45247</v>
      </c>
      <c r="C170" s="1" t="n">
        <v>45292</v>
      </c>
      <c r="D170" t="inlineStr">
        <is>
          <t>VÄSTMANLANDS LÄN</t>
        </is>
      </c>
      <c r="E170" t="inlineStr">
        <is>
          <t>FAGERSTA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59805-2023</t>
        </is>
      </c>
      <c r="B171" s="1" t="n">
        <v>45257</v>
      </c>
      <c r="C171" s="1" t="n">
        <v>45292</v>
      </c>
      <c r="D171" t="inlineStr">
        <is>
          <t>VÄSTMANLANDS LÄN</t>
        </is>
      </c>
      <c r="E171" t="inlineStr">
        <is>
          <t>FAGERSTA</t>
        </is>
      </c>
      <c r="G171" t="n">
        <v>6.2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>
      <c r="A172" t="inlineStr">
        <is>
          <t>A 63480-2023</t>
        </is>
      </c>
      <c r="B172" s="1" t="n">
        <v>45274</v>
      </c>
      <c r="C172" s="1" t="n">
        <v>45292</v>
      </c>
      <c r="D172" t="inlineStr">
        <is>
          <t>VÄSTMANLANDS LÄN</t>
        </is>
      </c>
      <c r="E172" t="inlineStr">
        <is>
          <t>FAGERSTA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2024-01-01T10:06:38Z</dcterms:created>
  <dcterms:modified xmlns:dcterms="http://purl.org/dc/terms/" xmlns:xsi="http://www.w3.org/2001/XMLSchema-instance" xsi:type="dcterms:W3CDTF">2024-01-01T10:06:39Z</dcterms:modified>
</cp:coreProperties>
</file>