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46241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46241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46241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46241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46241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46241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46241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46241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17889-2026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46122</v>
      </c>
      <c r="E10" s="1" t="n">
        <v>46241</v>
      </c>
      <c r="F10" t="inlineStr">
        <is>
          <t>VÄSTMANLANDS LÄN</t>
        </is>
      </c>
      <c r="G10" t="inlineStr">
        <is>
          <t>FAGERSTA</t>
        </is>
      </c>
      <c r="H10" t="inlineStr">
        <is>
          <t>Sveaskog</t>
        </is>
      </c>
      <c r="I10" t="n">
        <v>2.7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Garnlav
Tallticka</t>
        </is>
      </c>
      <c r="W10">
        <f>HYPERLINK("https://klasma.github.io/Logging_1982/artfynd/A 17889-2026 artfynd.xlsx", "A 17889-2026")</f>
        <v/>
      </c>
      <c r="X10">
        <f>HYPERLINK("https://klasma.github.io/Logging_1982/kartor/A 17889-2026 karta.png", "A 17889-2026")</f>
        <v/>
      </c>
      <c r="Y10">
        <f>HYPERLINK("https://klasma.github.io/Logging_1982/kartor_geotiff/A 17889-2026 georefererad karta.tif", "A 17889-2026")</f>
        <v/>
      </c>
      <c r="AA10">
        <f>HYPERLINK("https://klasma.github.io/Logging_1982/klagomål/A 17889-2026 FSC-klagomål.docx", "A 17889-2026")</f>
        <v/>
      </c>
      <c r="AB10">
        <f>HYPERLINK("https://klasma.github.io/Logging_1982/klagomålsmail/A 17889-2026 FSC-klagomål mail.docx", "A 17889-2026")</f>
        <v/>
      </c>
      <c r="AC10">
        <f>HYPERLINK("https://klasma.github.io/Logging_1982/tillsyn/A 17889-2026 tillsynsbegäran.docx", "A 17889-2026")</f>
        <v/>
      </c>
      <c r="AD10">
        <f>HYPERLINK("https://klasma.github.io/Logging_1982/tillsynsmail/A 17889-2026 tillsynsbegäran mail.docx", "A 17889-2026")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46241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46241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46241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46241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46241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46241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46241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46241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46241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46241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46241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46241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46241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46241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46241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46241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46241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46241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46241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46241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46241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46241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46241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46241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46241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46241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46241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46241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46241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46241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46241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46241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46241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22482-2023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45071</v>
      </c>
      <c r="E44" s="1" t="n">
        <v>46241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46241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44998</v>
      </c>
      <c r="E46" s="1" t="n">
        <v>46241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46241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45503</v>
      </c>
      <c r="E48" s="1" t="n">
        <v>46241</v>
      </c>
      <c r="F48" t="inlineStr">
        <is>
          <t>VÄSTMANLANDS LÄN</t>
        </is>
      </c>
      <c r="G48" t="inlineStr">
        <is>
          <t>FAGERSTA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46241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18781-2026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46241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8.699999999999999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18783-2026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46128</v>
      </c>
      <c r="E51" s="1" t="n">
        <v>46241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17893-2026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46122</v>
      </c>
      <c r="E52" s="1" t="n">
        <v>46241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6.9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46241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10820-2025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46241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19707-2026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46134</v>
      </c>
      <c r="E55" s="1" t="n">
        <v>46241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7380-2025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45705</v>
      </c>
      <c r="E56" s="1" t="n">
        <v>46241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46241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19825-2026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46135</v>
      </c>
      <c r="E58" s="1" t="n">
        <v>46241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46241</v>
      </c>
      <c r="F59" t="inlineStr">
        <is>
          <t>VÄSTMANLANDS LÄN</t>
        </is>
      </c>
      <c r="G59" t="inlineStr">
        <is>
          <t>FAGERSTA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46241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49311-2022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46241</v>
      </c>
      <c r="F61" t="inlineStr">
        <is>
          <t>VÄSTMANLANDS LÄN</t>
        </is>
      </c>
      <c r="G61" t="inlineStr">
        <is>
          <t>FAGERSTA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46140</v>
      </c>
      <c r="E62" s="1" t="n">
        <v>46241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45071</v>
      </c>
      <c r="E63" s="1" t="n">
        <v>46241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46241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46241</v>
      </c>
      <c r="F65" t="inlineStr">
        <is>
          <t>VÄSTMANLANDS LÄN</t>
        </is>
      </c>
      <c r="G65" t="inlineStr">
        <is>
          <t>FAGERSTA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46241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29073-2025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45821</v>
      </c>
      <c r="E67" s="1" t="n">
        <v>46241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46241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46241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46241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46241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46241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21891-2026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46241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45902</v>
      </c>
      <c r="E74" s="1" t="n">
        <v>46241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46241</v>
      </c>
      <c r="F75" t="inlineStr">
        <is>
          <t>VÄSTMANLANDS LÄN</t>
        </is>
      </c>
      <c r="G75" t="inlineStr">
        <is>
          <t>FAGERSTA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63305-2025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46010</v>
      </c>
      <c r="E76" s="1" t="n">
        <v>46241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46241</v>
      </c>
      <c r="F77" t="inlineStr">
        <is>
          <t>VÄSTMANLANDS LÄN</t>
        </is>
      </c>
      <c r="G77" t="inlineStr">
        <is>
          <t>FAGERSTA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45125</v>
      </c>
      <c r="E78" s="1" t="n">
        <v>46241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46241</v>
      </c>
      <c r="F79" t="inlineStr">
        <is>
          <t>VÄSTMANLANDS LÄN</t>
        </is>
      </c>
      <c r="G79" t="inlineStr">
        <is>
          <t>FAGERSTA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46241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45160</v>
      </c>
      <c r="E81" s="1" t="n">
        <v>46241</v>
      </c>
      <c r="F81" t="inlineStr">
        <is>
          <t>VÄSTMANLANDS LÄN</t>
        </is>
      </c>
      <c r="G81" t="inlineStr">
        <is>
          <t>FAGERSTA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46241</v>
      </c>
      <c r="F82" t="inlineStr">
        <is>
          <t>VÄSTMANLANDS LÄN</t>
        </is>
      </c>
      <c r="G82" t="inlineStr">
        <is>
          <t>FAGERSTA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46241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46164</v>
      </c>
      <c r="E84" s="1" t="n">
        <v>46241</v>
      </c>
      <c r="F84" t="inlineStr">
        <is>
          <t>VÄSTMANLANDS LÄN</t>
        </is>
      </c>
      <c r="G84" t="inlineStr">
        <is>
          <t>FAGERSTA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46241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28249-2022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46241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46241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46241</v>
      </c>
      <c r="F88" t="inlineStr">
        <is>
          <t>VÄSTMANLANDS LÄN</t>
        </is>
      </c>
      <c r="G88" t="inlineStr">
        <is>
          <t>FAGERSTA</t>
        </is>
      </c>
      <c r="H88" t="inlineStr">
        <is>
          <t>Kommuner</t>
        </is>
      </c>
      <c r="I88" t="n">
        <v>22.9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60374-2025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45995</v>
      </c>
      <c r="E89" s="1" t="n">
        <v>46241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46241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46241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46241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45128</v>
      </c>
      <c r="E93" s="1" t="n">
        <v>46241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45390-2023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45193</v>
      </c>
      <c r="E94" s="1" t="n">
        <v>46241</v>
      </c>
      <c r="F94" t="inlineStr">
        <is>
          <t>VÄSTMANLANDS LÄN</t>
        </is>
      </c>
      <c r="G94" t="inlineStr">
        <is>
          <t>FAGERSTA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46241</v>
      </c>
      <c r="F95" t="inlineStr">
        <is>
          <t>VÄSTMANLANDS LÄN</t>
        </is>
      </c>
      <c r="G95" t="inlineStr">
        <is>
          <t>FAGERSTA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46241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46241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31482-2026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46223</v>
      </c>
      <c r="E98" s="1" t="n">
        <v>46241</v>
      </c>
      <c r="F98" t="inlineStr">
        <is>
          <t>VÄSTMANLANDS LÄN</t>
        </is>
      </c>
      <c r="G98" t="inlineStr">
        <is>
          <t>FAGERSTA</t>
        </is>
      </c>
      <c r="H98" t="inlineStr">
        <is>
          <t>Övriga Aktiebolag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46241</v>
      </c>
      <c r="F99" t="inlineStr">
        <is>
          <t>VÄSTMANLANDS LÄN</t>
        </is>
      </c>
      <c r="G99" t="inlineStr">
        <is>
          <t>FAGERSTA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45274</v>
      </c>
      <c r="E100" s="1" t="n">
        <v>46241</v>
      </c>
      <c r="F100" t="inlineStr">
        <is>
          <t>VÄSTMANLANDS LÄN</t>
        </is>
      </c>
      <c r="G100" t="inlineStr">
        <is>
          <t>FAGERSTA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46241</v>
      </c>
      <c r="F101" t="inlineStr">
        <is>
          <t>VÄSTMANLANDS LÄN</t>
        </is>
      </c>
      <c r="G101" t="inlineStr">
        <is>
          <t>FAGERSTA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46241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46241</v>
      </c>
      <c r="F103" t="inlineStr">
        <is>
          <t>VÄSTMANLANDS LÄN</t>
        </is>
      </c>
      <c r="G103" t="inlineStr">
        <is>
          <t>FAGERSTA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32433-2026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46239</v>
      </c>
      <c r="E104" s="1" t="n">
        <v>46241</v>
      </c>
      <c r="F104" t="inlineStr">
        <is>
          <t>VÄSTMANLANDS LÄN</t>
        </is>
      </c>
      <c r="G104" t="inlineStr">
        <is>
          <t>FAGERSTA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46241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46241</v>
      </c>
      <c r="F106" t="inlineStr">
        <is>
          <t>VÄSTMANLANDS LÄN</t>
        </is>
      </c>
      <c r="G106" t="inlineStr">
        <is>
          <t>FAGERSTA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45762</v>
      </c>
      <c r="E107" s="1" t="n">
        <v>46241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46241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14.6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46241</v>
      </c>
      <c r="F109" t="inlineStr">
        <is>
          <t>VÄSTMANLANDS LÄN</t>
        </is>
      </c>
      <c r="G109" t="inlineStr">
        <is>
          <t>FAGERSTA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46241</v>
      </c>
      <c r="F110" t="inlineStr">
        <is>
          <t>VÄSTMANLANDS LÄN</t>
        </is>
      </c>
      <c r="G110" t="inlineStr">
        <is>
          <t>FAGERSTA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44764</v>
      </c>
      <c r="E111" s="1" t="n">
        <v>46241</v>
      </c>
      <c r="F111" t="inlineStr">
        <is>
          <t>VÄSTMANLANDS LÄN</t>
        </is>
      </c>
      <c r="G111" t="inlineStr">
        <is>
          <t>FAGERSTA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44998</v>
      </c>
      <c r="E112" s="1" t="n">
        <v>46241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46241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46241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46241</v>
      </c>
      <c r="F115" t="inlineStr">
        <is>
          <t>VÄSTMANLANDS LÄN</t>
        </is>
      </c>
      <c r="G115" t="inlineStr">
        <is>
          <t>FAGERSTA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45635</v>
      </c>
      <c r="E116" s="1" t="n">
        <v>46241</v>
      </c>
      <c r="F116" t="inlineStr">
        <is>
          <t>VÄSTMANLANDS LÄN</t>
        </is>
      </c>
      <c r="G116" t="inlineStr">
        <is>
          <t>FAGERSTA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46241</v>
      </c>
      <c r="F117" t="inlineStr">
        <is>
          <t>VÄSTMANLANDS LÄN</t>
        </is>
      </c>
      <c r="G117" t="inlineStr">
        <is>
          <t>FAGERSTA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46241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22.6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33238-2025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45840</v>
      </c>
      <c r="E119" s="1" t="n">
        <v>46241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33232-2025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45840</v>
      </c>
      <c r="E120" s="1" t="n">
        <v>46241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33236-2025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45840</v>
      </c>
      <c r="E121" s="1" t="n">
        <v>46241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45846</v>
      </c>
      <c r="E122" s="1" t="n">
        <v>46241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46241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2078-2025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45840</v>
      </c>
      <c r="E124" s="1" t="n">
        <v>46241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2080-2025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45840</v>
      </c>
      <c r="E125" s="1" t="n">
        <v>46241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2079-2025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46241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2121-2025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45846</v>
      </c>
      <c r="E127" s="1" t="n">
        <v>46241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3554-2025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46010</v>
      </c>
      <c r="E128" s="1" t="n">
        <v>46241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1073-2026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46128</v>
      </c>
      <c r="E129" s="1" t="n">
        <v>46241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>
      <c r="A130" t="inlineStr">
        <is>
          <t>S 1143-2026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46135</v>
      </c>
      <c r="E130" s="1" t="n">
        <v>46241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2026-08-07T01:57:16Z</dcterms:created>
  <dcterms:modified xmlns:dcterms="http://purl.org/dc/terms/" xmlns:xsi="http://www.w3.org/2001/XMLSchema-instance" xsi:type="dcterms:W3CDTF">2026-08-07T01:57:16Z</dcterms:modified>
</cp:coreProperties>
</file>