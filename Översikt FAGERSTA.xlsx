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45744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45744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45744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45744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45744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45744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45744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12909-2025</t>
        </is>
      </c>
      <c r="B9" s="1" t="n">
        <v>45733</v>
      </c>
      <c r="C9" s="1" t="n">
        <v>45744</v>
      </c>
      <c r="D9" t="inlineStr">
        <is>
          <t>VÄSTMANLANDS LÄN</t>
        </is>
      </c>
      <c r="E9" t="inlineStr">
        <is>
          <t>FAGERSTA</t>
        </is>
      </c>
      <c r="G9" t="n">
        <v>10.9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Ullticka</t>
        </is>
      </c>
      <c r="S9">
        <f>HYPERLINK("https://klasma.github.io/Logging_1982/artfynd/A 12909-2025 artfynd.xlsx", "A 12909-2025")</f>
        <v/>
      </c>
      <c r="T9">
        <f>HYPERLINK("https://klasma.github.io/Logging_1982/kartor/A 12909-2025 karta.png", "A 12909-2025")</f>
        <v/>
      </c>
      <c r="V9">
        <f>HYPERLINK("https://klasma.github.io/Logging_1982/klagomål/A 12909-2025 FSC-klagomål.docx", "A 12909-2025")</f>
        <v/>
      </c>
      <c r="W9">
        <f>HYPERLINK("https://klasma.github.io/Logging_1982/klagomålsmail/A 12909-2025 FSC-klagomål mail.docx", "A 12909-2025")</f>
        <v/>
      </c>
      <c r="X9">
        <f>HYPERLINK("https://klasma.github.io/Logging_1982/tillsyn/A 12909-2025 tillsynsbegäran.docx", "A 12909-2025")</f>
        <v/>
      </c>
      <c r="Y9">
        <f>HYPERLINK("https://klasma.github.io/Logging_1982/tillsynsmail/A 12909-2025 tillsynsbegäran mail.docx", "A 12909-2025")</f>
        <v/>
      </c>
    </row>
    <row r="10" ht="15" customHeight="1">
      <c r="A10" t="inlineStr">
        <is>
          <t>A 20831-2019</t>
        </is>
      </c>
      <c r="B10" s="1" t="n">
        <v>43574</v>
      </c>
      <c r="C10" s="1" t="n">
        <v>45744</v>
      </c>
      <c r="D10" t="inlineStr">
        <is>
          <t>VÄSTMANLANDS LÄN</t>
        </is>
      </c>
      <c r="E10" t="inlineStr">
        <is>
          <t>FAGERSTA</t>
        </is>
      </c>
      <c r="G10" t="n">
        <v>13.1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HYPERLINK("https://klasma.github.io/Logging_1982/artfynd/A 20831-2019 artfynd.xlsx", "A 20831-2019")</f>
        <v/>
      </c>
      <c r="T10">
        <f>HYPERLINK("https://klasma.github.io/Logging_1982/kartor/A 20831-2019 karta.png", "A 20831-2019")</f>
        <v/>
      </c>
      <c r="V10">
        <f>HYPERLINK("https://klasma.github.io/Logging_1982/klagomål/A 20831-2019 FSC-klagomål.docx", "A 20831-2019")</f>
        <v/>
      </c>
      <c r="W10">
        <f>HYPERLINK("https://klasma.github.io/Logging_1982/klagomålsmail/A 20831-2019 FSC-klagomål mail.docx", "A 20831-2019")</f>
        <v/>
      </c>
      <c r="X10">
        <f>HYPERLINK("https://klasma.github.io/Logging_1982/tillsyn/A 20831-2019 tillsynsbegäran.docx", "A 20831-2019")</f>
        <v/>
      </c>
      <c r="Y10">
        <f>HYPERLINK("https://klasma.github.io/Logging_1982/tillsynsmail/A 20831-2019 tillsynsbegäran mail.docx", "A 20831-2019")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45744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28435-2022</t>
        </is>
      </c>
      <c r="B12" s="1" t="n">
        <v>44747</v>
      </c>
      <c r="C12" s="1" t="n">
        <v>45744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Stjärntagging</t>
        </is>
      </c>
      <c r="S12">
        <f>HYPERLINK("https://klasma.github.io/Logging_1982/artfynd/A 28435-2022 artfynd.xlsx", "A 28435-2022")</f>
        <v/>
      </c>
      <c r="T12">
        <f>HYPERLINK("https://klasma.github.io/Logging_1982/kartor/A 28435-2022 karta.png", "A 28435-2022")</f>
        <v/>
      </c>
      <c r="V12">
        <f>HYPERLINK("https://klasma.github.io/Logging_1982/klagomål/A 28435-2022 FSC-klagomål.docx", "A 28435-2022")</f>
        <v/>
      </c>
      <c r="W12">
        <f>HYPERLINK("https://klasma.github.io/Logging_1982/klagomålsmail/A 28435-2022 FSC-klagomål mail.docx", "A 28435-2022")</f>
        <v/>
      </c>
      <c r="X12">
        <f>HYPERLINK("https://klasma.github.io/Logging_1982/tillsyn/A 28435-2022 tillsynsbegäran.docx", "A 28435-2022")</f>
        <v/>
      </c>
      <c r="Y12">
        <f>HYPERLINK("https://klasma.github.io/Logging_1982/tillsynsmail/A 28435-2022 tillsynsbegäran mail.docx", "A 28435-2022")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45744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45744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15631-2023</t>
        </is>
      </c>
      <c r="B15" s="1" t="n">
        <v>45021</v>
      </c>
      <c r="C15" s="1" t="n">
        <v>45744</v>
      </c>
      <c r="D15" t="inlineStr">
        <is>
          <t>VÄSTMANLANDS LÄN</t>
        </is>
      </c>
      <c r="E15" t="inlineStr">
        <is>
          <t>FAGERSTA</t>
        </is>
      </c>
      <c r="F15" t="inlineStr">
        <is>
          <t>Bergvik skog väst AB</t>
        </is>
      </c>
      <c r="G15" t="n">
        <v>33.1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HYPERLINK("https://klasma.github.io/Logging_1982/artfynd/A 15631-2023 artfynd.xlsx", "A 15631-2023")</f>
        <v/>
      </c>
      <c r="T15">
        <f>HYPERLINK("https://klasma.github.io/Logging_1982/kartor/A 15631-2023 karta.png", "A 15631-2023")</f>
        <v/>
      </c>
      <c r="V15">
        <f>HYPERLINK("https://klasma.github.io/Logging_1982/klagomål/A 15631-2023 FSC-klagomål.docx", "A 15631-2023")</f>
        <v/>
      </c>
      <c r="W15">
        <f>HYPERLINK("https://klasma.github.io/Logging_1982/klagomålsmail/A 15631-2023 FSC-klagomål mail.docx", "A 15631-2023")</f>
        <v/>
      </c>
      <c r="X15">
        <f>HYPERLINK("https://klasma.github.io/Logging_1982/tillsyn/A 15631-2023 tillsynsbegäran.docx", "A 15631-2023")</f>
        <v/>
      </c>
      <c r="Y15">
        <f>HYPERLINK("https://klasma.github.io/Logging_1982/tillsynsmail/A 15631-2023 tillsynsbegäran mail.docx", "A 15631-2023")</f>
        <v/>
      </c>
      <c r="Z15">
        <f>HYPERLINK("https://klasma.github.io/Logging_1982/fåglar/A 15631-2023 prioriterade fågelarter.docx", "A 15631-2023")</f>
        <v/>
      </c>
    </row>
    <row r="16" ht="15" customHeight="1">
      <c r="A16" t="inlineStr">
        <is>
          <t>A 19218-2023</t>
        </is>
      </c>
      <c r="B16" s="1" t="n">
        <v>45048</v>
      </c>
      <c r="C16" s="1" t="n">
        <v>45744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19218-2023 artfynd.xlsx", "A 19218-2023")</f>
        <v/>
      </c>
      <c r="T16">
        <f>HYPERLINK("https://klasma.github.io/Logging_1982/kartor/A 19218-2023 karta.png", "A 19218-2023")</f>
        <v/>
      </c>
      <c r="V16">
        <f>HYPERLINK("https://klasma.github.io/Logging_1982/klagomål/A 19218-2023 FSC-klagomål.docx", "A 19218-2023")</f>
        <v/>
      </c>
      <c r="W16">
        <f>HYPERLINK("https://klasma.github.io/Logging_1982/klagomålsmail/A 19218-2023 FSC-klagomål mail.docx", "A 19218-2023")</f>
        <v/>
      </c>
      <c r="X16">
        <f>HYPERLINK("https://klasma.github.io/Logging_1982/tillsyn/A 19218-2023 tillsynsbegäran.docx", "A 19218-2023")</f>
        <v/>
      </c>
      <c r="Y16">
        <f>HYPERLINK("https://klasma.github.io/Logging_1982/tillsynsmail/A 19218-2023 tillsynsbegäran mail.docx", "A 19218-2023")</f>
        <v/>
      </c>
    </row>
    <row r="17" ht="15" customHeight="1">
      <c r="A17" t="inlineStr">
        <is>
          <t>A 28794-2023</t>
        </is>
      </c>
      <c r="B17" s="1" t="n">
        <v>45104</v>
      </c>
      <c r="C17" s="1" t="n">
        <v>45744</v>
      </c>
      <c r="D17" t="inlineStr">
        <is>
          <t>VÄSTMANLANDS LÄN</t>
        </is>
      </c>
      <c r="E17" t="inlineStr">
        <is>
          <t>FAGERSTA</t>
        </is>
      </c>
      <c r="G17" t="n">
        <v>12.2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HYPERLINK("https://klasma.github.io/Logging_1982/artfynd/A 28794-2023 artfynd.xlsx", "A 28794-2023")</f>
        <v/>
      </c>
      <c r="T17">
        <f>HYPERLINK("https://klasma.github.io/Logging_1982/kartor/A 28794-2023 karta.png", "A 28794-2023")</f>
        <v/>
      </c>
      <c r="V17">
        <f>HYPERLINK("https://klasma.github.io/Logging_1982/klagomål/A 28794-2023 FSC-klagomål.docx", "A 28794-2023")</f>
        <v/>
      </c>
      <c r="W17">
        <f>HYPERLINK("https://klasma.github.io/Logging_1982/klagomålsmail/A 28794-2023 FSC-klagomål mail.docx", "A 28794-2023")</f>
        <v/>
      </c>
      <c r="X17">
        <f>HYPERLINK("https://klasma.github.io/Logging_1982/tillsyn/A 28794-2023 tillsynsbegäran.docx", "A 28794-2023")</f>
        <v/>
      </c>
      <c r="Y17">
        <f>HYPERLINK("https://klasma.github.io/Logging_1982/tillsynsmail/A 28794-2023 tillsynsbegäran mail.docx", "A 28794-2023")</f>
        <v/>
      </c>
      <c r="Z17">
        <f>HYPERLINK("https://klasma.github.io/Logging_1982/fåglar/A 28794-2023 prioriterade fågelarter.docx", "A 28794-2023")</f>
        <v/>
      </c>
    </row>
    <row r="18" ht="15" customHeight="1">
      <c r="A18" t="inlineStr">
        <is>
          <t>A 51122-2024</t>
        </is>
      </c>
      <c r="B18" s="1" t="n">
        <v>45603</v>
      </c>
      <c r="C18" s="1" t="n">
        <v>45744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HYPERLINK("https://klasma.github.io/Logging_1982/artfynd/A 51122-2024 artfynd.xlsx", "A 51122-2024")</f>
        <v/>
      </c>
      <c r="T18">
        <f>HYPERLINK("https://klasma.github.io/Logging_1982/kartor/A 51122-2024 karta.png", "A 51122-2024")</f>
        <v/>
      </c>
      <c r="V18">
        <f>HYPERLINK("https://klasma.github.io/Logging_1982/klagomål/A 51122-2024 FSC-klagomål.docx", "A 51122-2024")</f>
        <v/>
      </c>
      <c r="W18">
        <f>HYPERLINK("https://klasma.github.io/Logging_1982/klagomålsmail/A 51122-2024 FSC-klagomål mail.docx", "A 51122-2024")</f>
        <v/>
      </c>
      <c r="X18">
        <f>HYPERLINK("https://klasma.github.io/Logging_1982/tillsyn/A 51122-2024 tillsynsbegäran.docx", "A 51122-2024")</f>
        <v/>
      </c>
      <c r="Y18">
        <f>HYPERLINK("https://klasma.github.io/Logging_1982/tillsynsmail/A 51122-2024 tillsynsbegäran mail.docx", "A 51122-2024")</f>
        <v/>
      </c>
    </row>
    <row r="19" ht="15" customHeight="1">
      <c r="A19" t="inlineStr">
        <is>
          <t>A 58307-2024</t>
        </is>
      </c>
      <c r="B19" s="1" t="n">
        <v>45632</v>
      </c>
      <c r="C19" s="1" t="n">
        <v>45744</v>
      </c>
      <c r="D19" t="inlineStr">
        <is>
          <t>VÄSTMANLANDS LÄN</t>
        </is>
      </c>
      <c r="E19" t="inlineStr">
        <is>
          <t>FAGERSTA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HYPERLINK("https://klasma.github.io/Logging_1982/artfynd/A 58307-2024 artfynd.xlsx", "A 58307-2024")</f>
        <v/>
      </c>
      <c r="T19">
        <f>HYPERLINK("https://klasma.github.io/Logging_1982/kartor/A 58307-2024 karta.png", "A 58307-2024")</f>
        <v/>
      </c>
      <c r="V19">
        <f>HYPERLINK("https://klasma.github.io/Logging_1982/klagomål/A 58307-2024 FSC-klagomål.docx", "A 58307-2024")</f>
        <v/>
      </c>
      <c r="W19">
        <f>HYPERLINK("https://klasma.github.io/Logging_1982/klagomålsmail/A 58307-2024 FSC-klagomål mail.docx", "A 58307-2024")</f>
        <v/>
      </c>
      <c r="X19">
        <f>HYPERLINK("https://klasma.github.io/Logging_1982/tillsyn/A 58307-2024 tillsynsbegäran.docx", "A 58307-2024")</f>
        <v/>
      </c>
      <c r="Y19">
        <f>HYPERLINK("https://klasma.github.io/Logging_1982/tillsynsmail/A 58307-2024 tillsynsbegäran mail.docx", "A 58307-2024")</f>
        <v/>
      </c>
    </row>
    <row r="20" ht="15" customHeight="1">
      <c r="A20" t="inlineStr">
        <is>
          <t>A 9803-2025</t>
        </is>
      </c>
      <c r="B20" s="1" t="n">
        <v>45716</v>
      </c>
      <c r="C20" s="1" t="n">
        <v>45744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Tallbit</t>
        </is>
      </c>
      <c r="S20">
        <f>HYPERLINK("https://klasma.github.io/Logging_1982/artfynd/A 9803-2025 artfynd.xlsx", "A 9803-2025")</f>
        <v/>
      </c>
      <c r="T20">
        <f>HYPERLINK("https://klasma.github.io/Logging_1982/kartor/A 9803-2025 karta.png", "A 9803-2025")</f>
        <v/>
      </c>
      <c r="V20">
        <f>HYPERLINK("https://klasma.github.io/Logging_1982/klagomål/A 9803-2025 FSC-klagomål.docx", "A 9803-2025")</f>
        <v/>
      </c>
      <c r="W20">
        <f>HYPERLINK("https://klasma.github.io/Logging_1982/klagomålsmail/A 9803-2025 FSC-klagomål mail.docx", "A 9803-2025")</f>
        <v/>
      </c>
      <c r="X20">
        <f>HYPERLINK("https://klasma.github.io/Logging_1982/tillsyn/A 9803-2025 tillsynsbegäran.docx", "A 9803-2025")</f>
        <v/>
      </c>
      <c r="Y20">
        <f>HYPERLINK("https://klasma.github.io/Logging_1982/tillsynsmail/A 9803-2025 tillsynsbegäran mail.docx", "A 9803-2025")</f>
        <v/>
      </c>
      <c r="Z20">
        <f>HYPERLINK("https://klasma.github.io/Logging_1982/fåglar/A 9803-2025 prioriterade fågelarter.docx", "A 9803-2025")</f>
        <v/>
      </c>
    </row>
    <row r="21" ht="15" customHeight="1">
      <c r="A21" t="inlineStr">
        <is>
          <t>A 10373-2025</t>
        </is>
      </c>
      <c r="B21" s="1" t="n">
        <v>45720</v>
      </c>
      <c r="C21" s="1" t="n">
        <v>45744</v>
      </c>
      <c r="D21" t="inlineStr">
        <is>
          <t>VÄSTMANLANDS LÄN</t>
        </is>
      </c>
      <c r="E21" t="inlineStr">
        <is>
          <t>FAGERSTA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HYPERLINK("https://klasma.github.io/Logging_1982/artfynd/A 10373-2025 artfynd.xlsx", "A 10373-2025")</f>
        <v/>
      </c>
      <c r="T21">
        <f>HYPERLINK("https://klasma.github.io/Logging_1982/kartor/A 10373-2025 karta.png", "A 10373-2025")</f>
        <v/>
      </c>
      <c r="V21">
        <f>HYPERLINK("https://klasma.github.io/Logging_1982/klagomål/A 10373-2025 FSC-klagomål.docx", "A 10373-2025")</f>
        <v/>
      </c>
      <c r="W21">
        <f>HYPERLINK("https://klasma.github.io/Logging_1982/klagomålsmail/A 10373-2025 FSC-klagomål mail.docx", "A 10373-2025")</f>
        <v/>
      </c>
      <c r="X21">
        <f>HYPERLINK("https://klasma.github.io/Logging_1982/tillsyn/A 10373-2025 tillsynsbegäran.docx", "A 10373-2025")</f>
        <v/>
      </c>
      <c r="Y21">
        <f>HYPERLINK("https://klasma.github.io/Logging_1982/tillsynsmail/A 10373-2025 tillsynsbegäran mail.docx", "A 10373-2025")</f>
        <v/>
      </c>
    </row>
    <row r="22" ht="15" customHeight="1">
      <c r="A22" t="inlineStr">
        <is>
          <t>A 19127-2019</t>
        </is>
      </c>
      <c r="B22" s="1" t="n">
        <v>43564</v>
      </c>
      <c r="C22" s="1" t="n">
        <v>45744</v>
      </c>
      <c r="D22" t="inlineStr">
        <is>
          <t>VÄSTMANLANDS LÄN</t>
        </is>
      </c>
      <c r="E22" t="inlineStr">
        <is>
          <t>FAGERSTA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20412-2019</t>
        </is>
      </c>
      <c r="B23" s="1" t="n">
        <v>43571</v>
      </c>
      <c r="C23" s="1" t="n">
        <v>45744</v>
      </c>
      <c r="D23" t="inlineStr">
        <is>
          <t>VÄSTMANLANDS LÄN</t>
        </is>
      </c>
      <c r="E23" t="inlineStr">
        <is>
          <t>FAGERSTA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23890-2019</t>
        </is>
      </c>
      <c r="B24" s="1" t="n">
        <v>43595</v>
      </c>
      <c r="C24" s="1" t="n">
        <v>45744</v>
      </c>
      <c r="D24" t="inlineStr">
        <is>
          <t>VÄSTMANLANDS LÄN</t>
        </is>
      </c>
      <c r="E24" t="inlineStr">
        <is>
          <t>FAGERSTA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33440-2019</t>
        </is>
      </c>
      <c r="B25" s="1" t="n">
        <v>43650</v>
      </c>
      <c r="C25" s="1" t="n">
        <v>45744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36069-2019</t>
        </is>
      </c>
      <c r="B26" s="1" t="n">
        <v>43668</v>
      </c>
      <c r="C26" s="1" t="n">
        <v>45744</v>
      </c>
      <c r="D26" t="inlineStr">
        <is>
          <t>VÄSTMANLANDS LÄN</t>
        </is>
      </c>
      <c r="E26" t="inlineStr">
        <is>
          <t>FAGERSTA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38387-2019</t>
        </is>
      </c>
      <c r="B27" s="1" t="n">
        <v>43685</v>
      </c>
      <c r="C27" s="1" t="n">
        <v>45744</v>
      </c>
      <c r="D27" t="inlineStr">
        <is>
          <t>VÄSTMANLANDS LÄN</t>
        </is>
      </c>
      <c r="E27" t="inlineStr">
        <is>
          <t>FAGERSTA</t>
        </is>
      </c>
      <c r="F27" t="inlineStr">
        <is>
          <t>Övriga Aktiebolag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48211-2019</t>
        </is>
      </c>
      <c r="B28" s="1" t="n">
        <v>43726</v>
      </c>
      <c r="C28" s="1" t="n">
        <v>45744</v>
      </c>
      <c r="D28" t="inlineStr">
        <is>
          <t>VÄSTMANLANDS LÄN</t>
        </is>
      </c>
      <c r="E28" t="inlineStr">
        <is>
          <t>FAGERSTA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52323-2019</t>
        </is>
      </c>
      <c r="B29" s="1" t="n">
        <v>43745</v>
      </c>
      <c r="C29" s="1" t="n">
        <v>45744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62199-2019</t>
        </is>
      </c>
      <c r="B30" s="1" t="n">
        <v>43788</v>
      </c>
      <c r="C30" s="1" t="n">
        <v>45744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62198-2019</t>
        </is>
      </c>
      <c r="B31" s="1" t="n">
        <v>43788</v>
      </c>
      <c r="C31" s="1" t="n">
        <v>45744</v>
      </c>
      <c r="D31" t="inlineStr">
        <is>
          <t>VÄSTMANLANDS LÄN</t>
        </is>
      </c>
      <c r="E31" t="inlineStr">
        <is>
          <t>FAGERSTA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5112-2020</t>
        </is>
      </c>
      <c r="B32" s="1" t="n">
        <v>43853</v>
      </c>
      <c r="C32" s="1" t="n">
        <v>45744</v>
      </c>
      <c r="D32" t="inlineStr">
        <is>
          <t>VÄSTMANLANDS LÄN</t>
        </is>
      </c>
      <c r="E32" t="inlineStr">
        <is>
          <t>FAGERSTA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3889-2020</t>
        </is>
      </c>
      <c r="B33" s="1" t="n">
        <v>43854</v>
      </c>
      <c r="C33" s="1" t="n">
        <v>45744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8112-2020</t>
        </is>
      </c>
      <c r="B34" s="1" t="n">
        <v>43874</v>
      </c>
      <c r="C34" s="1" t="n">
        <v>45744</v>
      </c>
      <c r="D34" t="inlineStr">
        <is>
          <t>VÄSTMANLANDS LÄN</t>
        </is>
      </c>
      <c r="E34" t="inlineStr">
        <is>
          <t>FAGERSTA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10013-2020</t>
        </is>
      </c>
      <c r="B35" s="1" t="n">
        <v>43882</v>
      </c>
      <c r="C35" s="1" t="n">
        <v>45744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10868-2020</t>
        </is>
      </c>
      <c r="B36" s="1" t="n">
        <v>43889</v>
      </c>
      <c r="C36" s="1" t="n">
        <v>45744</v>
      </c>
      <c r="D36" t="inlineStr">
        <is>
          <t>VÄSTMANLANDS LÄN</t>
        </is>
      </c>
      <c r="E36" t="inlineStr">
        <is>
          <t>FAGERSTA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11186-2020</t>
        </is>
      </c>
      <c r="B37" s="1" t="n">
        <v>43892</v>
      </c>
      <c r="C37" s="1" t="n">
        <v>45744</v>
      </c>
      <c r="D37" t="inlineStr">
        <is>
          <t>VÄSTMANLANDS LÄN</t>
        </is>
      </c>
      <c r="E37" t="inlineStr">
        <is>
          <t>FAGERSTA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12595-2020</t>
        </is>
      </c>
      <c r="B38" s="1" t="n">
        <v>43899</v>
      </c>
      <c r="C38" s="1" t="n">
        <v>45744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25639-2020</t>
        </is>
      </c>
      <c r="B39" s="1" t="n">
        <v>43983</v>
      </c>
      <c r="C39" s="1" t="n">
        <v>45744</v>
      </c>
      <c r="D39" t="inlineStr">
        <is>
          <t>VÄSTMANLANDS LÄN</t>
        </is>
      </c>
      <c r="E39" t="inlineStr">
        <is>
          <t>FAGERSTA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34984-2020</t>
        </is>
      </c>
      <c r="B40" s="1" t="n">
        <v>44039</v>
      </c>
      <c r="C40" s="1" t="n">
        <v>45744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35694-2020</t>
        </is>
      </c>
      <c r="B41" s="1" t="n">
        <v>44046</v>
      </c>
      <c r="C41" s="1" t="n">
        <v>45744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38556-2020</t>
        </is>
      </c>
      <c r="B42" s="1" t="n">
        <v>44061</v>
      </c>
      <c r="C42" s="1" t="n">
        <v>45744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38547-2020</t>
        </is>
      </c>
      <c r="B43" s="1" t="n">
        <v>44061</v>
      </c>
      <c r="C43" s="1" t="n">
        <v>45744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39328-2020</t>
        </is>
      </c>
      <c r="B44" s="1" t="n">
        <v>44063</v>
      </c>
      <c r="C44" s="1" t="n">
        <v>45744</v>
      </c>
      <c r="D44" t="inlineStr">
        <is>
          <t>VÄSTMANLANDS LÄN</t>
        </is>
      </c>
      <c r="E44" t="inlineStr">
        <is>
          <t>FAGERSTA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40185-2020</t>
        </is>
      </c>
      <c r="B45" s="1" t="n">
        <v>44068</v>
      </c>
      <c r="C45" s="1" t="n">
        <v>45744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40179-2020</t>
        </is>
      </c>
      <c r="B46" s="1" t="n">
        <v>44068</v>
      </c>
      <c r="C46" s="1" t="n">
        <v>45744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40170-2020</t>
        </is>
      </c>
      <c r="B47" s="1" t="n">
        <v>44068</v>
      </c>
      <c r="C47" s="1" t="n">
        <v>45744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40183-2020</t>
        </is>
      </c>
      <c r="B48" s="1" t="n">
        <v>44068</v>
      </c>
      <c r="C48" s="1" t="n">
        <v>45744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40182-2020</t>
        </is>
      </c>
      <c r="B49" s="1" t="n">
        <v>44068</v>
      </c>
      <c r="C49" s="1" t="n">
        <v>45744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41969-2020</t>
        </is>
      </c>
      <c r="B50" s="1" t="n">
        <v>44075</v>
      </c>
      <c r="C50" s="1" t="n">
        <v>45744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41971-2020</t>
        </is>
      </c>
      <c r="B51" s="1" t="n">
        <v>44075</v>
      </c>
      <c r="C51" s="1" t="n">
        <v>45744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44532-2020</t>
        </is>
      </c>
      <c r="B52" s="1" t="n">
        <v>44085</v>
      </c>
      <c r="C52" s="1" t="n">
        <v>45744</v>
      </c>
      <c r="D52" t="inlineStr">
        <is>
          <t>VÄSTMANLANDS LÄN</t>
        </is>
      </c>
      <c r="E52" t="inlineStr">
        <is>
          <t>FAGERSTA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47168-2020</t>
        </is>
      </c>
      <c r="B53" s="1" t="n">
        <v>44097</v>
      </c>
      <c r="C53" s="1" t="n">
        <v>45744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47161-2020</t>
        </is>
      </c>
      <c r="B54" s="1" t="n">
        <v>44097</v>
      </c>
      <c r="C54" s="1" t="n">
        <v>45744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47163-2020</t>
        </is>
      </c>
      <c r="B55" s="1" t="n">
        <v>44097</v>
      </c>
      <c r="C55" s="1" t="n">
        <v>45744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47165-2020</t>
        </is>
      </c>
      <c r="B56" s="1" t="n">
        <v>44097</v>
      </c>
      <c r="C56" s="1" t="n">
        <v>45744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48286-2020</t>
        </is>
      </c>
      <c r="B57" s="1" t="n">
        <v>44097</v>
      </c>
      <c r="C57" s="1" t="n">
        <v>45744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48313-2020</t>
        </is>
      </c>
      <c r="B58" s="1" t="n">
        <v>44097</v>
      </c>
      <c r="C58" s="1" t="n">
        <v>45744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47754-2020</t>
        </is>
      </c>
      <c r="B59" s="1" t="n">
        <v>44098</v>
      </c>
      <c r="C59" s="1" t="n">
        <v>45744</v>
      </c>
      <c r="D59" t="inlineStr">
        <is>
          <t>VÄSTMANLANDS LÄN</t>
        </is>
      </c>
      <c r="E59" t="inlineStr">
        <is>
          <t>FAGERSTA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51624-2020</t>
        </is>
      </c>
      <c r="B60" s="1" t="n">
        <v>44113</v>
      </c>
      <c r="C60" s="1" t="n">
        <v>45744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51618-2020</t>
        </is>
      </c>
      <c r="B61" s="1" t="n">
        <v>44113</v>
      </c>
      <c r="C61" s="1" t="n">
        <v>45744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51634-2020</t>
        </is>
      </c>
      <c r="B62" s="1" t="n">
        <v>44113</v>
      </c>
      <c r="C62" s="1" t="n">
        <v>45744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62686-2020</t>
        </is>
      </c>
      <c r="B63" s="1" t="n">
        <v>44161</v>
      </c>
      <c r="C63" s="1" t="n">
        <v>45744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64306-2020</t>
        </is>
      </c>
      <c r="B64" s="1" t="n">
        <v>44168</v>
      </c>
      <c r="C64" s="1" t="n">
        <v>45744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64310-2020</t>
        </is>
      </c>
      <c r="B65" s="1" t="n">
        <v>44168</v>
      </c>
      <c r="C65" s="1" t="n">
        <v>45744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65113-2020</t>
        </is>
      </c>
      <c r="B66" s="1" t="n">
        <v>44172</v>
      </c>
      <c r="C66" s="1" t="n">
        <v>45744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65829-2020</t>
        </is>
      </c>
      <c r="B67" s="1" t="n">
        <v>44172</v>
      </c>
      <c r="C67" s="1" t="n">
        <v>45744</v>
      </c>
      <c r="D67" t="inlineStr">
        <is>
          <t>VÄSTMANLANDS LÄN</t>
        </is>
      </c>
      <c r="E67" t="inlineStr">
        <is>
          <t>FAGERSTA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12756-2021</t>
        </is>
      </c>
      <c r="B68" s="1" t="n">
        <v>44270</v>
      </c>
      <c r="C68" s="1" t="n">
        <v>45744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14407-2021</t>
        </is>
      </c>
      <c r="B69" s="1" t="n">
        <v>44279</v>
      </c>
      <c r="C69" s="1" t="n">
        <v>45744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16798-2021</t>
        </is>
      </c>
      <c r="B70" s="1" t="n">
        <v>44295</v>
      </c>
      <c r="C70" s="1" t="n">
        <v>45744</v>
      </c>
      <c r="D70" t="inlineStr">
        <is>
          <t>VÄSTMANLANDS LÄN</t>
        </is>
      </c>
      <c r="E70" t="inlineStr">
        <is>
          <t>FAGERSTA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17786-2021</t>
        </is>
      </c>
      <c r="B71" s="1" t="n">
        <v>44300</v>
      </c>
      <c r="C71" s="1" t="n">
        <v>45744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17778-2021</t>
        </is>
      </c>
      <c r="B72" s="1" t="n">
        <v>44300</v>
      </c>
      <c r="C72" s="1" t="n">
        <v>45744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27525-2021</t>
        </is>
      </c>
      <c r="B73" s="1" t="n">
        <v>44351</v>
      </c>
      <c r="C73" s="1" t="n">
        <v>45744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29197-2021</t>
        </is>
      </c>
      <c r="B74" s="1" t="n">
        <v>44359</v>
      </c>
      <c r="C74" s="1" t="n">
        <v>45744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30503-2021</t>
        </is>
      </c>
      <c r="B75" s="1" t="n">
        <v>44364</v>
      </c>
      <c r="C75" s="1" t="n">
        <v>45744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34426-2021</t>
        </is>
      </c>
      <c r="B76" s="1" t="n">
        <v>44380</v>
      </c>
      <c r="C76" s="1" t="n">
        <v>45744</v>
      </c>
      <c r="D76" t="inlineStr">
        <is>
          <t>VÄSTMANLANDS LÄN</t>
        </is>
      </c>
      <c r="E76" t="inlineStr">
        <is>
          <t>FAGERSTA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35905-2021</t>
        </is>
      </c>
      <c r="B77" s="1" t="n">
        <v>44387</v>
      </c>
      <c r="C77" s="1" t="n">
        <v>45744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35896-2021</t>
        </is>
      </c>
      <c r="B78" s="1" t="n">
        <v>44387</v>
      </c>
      <c r="C78" s="1" t="n">
        <v>45744</v>
      </c>
      <c r="D78" t="inlineStr">
        <is>
          <t>VÄSTMANLANDS LÄN</t>
        </is>
      </c>
      <c r="E78" t="inlineStr">
        <is>
          <t>FAGERSTA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37602-2021</t>
        </is>
      </c>
      <c r="B79" s="1" t="n">
        <v>44399</v>
      </c>
      <c r="C79" s="1" t="n">
        <v>45744</v>
      </c>
      <c r="D79" t="inlineStr">
        <is>
          <t>VÄSTMANLANDS LÄN</t>
        </is>
      </c>
      <c r="E79" t="inlineStr">
        <is>
          <t>FAGERSTA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38126-2021</t>
        </is>
      </c>
      <c r="B80" s="1" t="n">
        <v>44405</v>
      </c>
      <c r="C80" s="1" t="n">
        <v>45744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38128-2021</t>
        </is>
      </c>
      <c r="B81" s="1" t="n">
        <v>44405</v>
      </c>
      <c r="C81" s="1" t="n">
        <v>45744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HYPERLINK("https://klasma.github.io/Logging_1982/knärot/A 38128-2021 karta knärot.png", "A 38128-2021")</f>
        <v/>
      </c>
      <c r="V81">
        <f>HYPERLINK("https://klasma.github.io/Logging_1982/klagomål/A 38128-2021 FSC-klagomål.docx", "A 38128-2021")</f>
        <v/>
      </c>
      <c r="W81">
        <f>HYPERLINK("https://klasma.github.io/Logging_1982/klagomålsmail/A 38128-2021 FSC-klagomål mail.docx", "A 38128-2021")</f>
        <v/>
      </c>
      <c r="X81">
        <f>HYPERLINK("https://klasma.github.io/Logging_1982/tillsyn/A 38128-2021 tillsynsbegäran.docx", "A 38128-2021")</f>
        <v/>
      </c>
      <c r="Y81">
        <f>HYPERLINK("https://klasma.github.io/Logging_1982/tillsynsmail/A 38128-2021 tillsynsbegäran mail.docx", "A 38128-2021")</f>
        <v/>
      </c>
    </row>
    <row r="82" ht="15" customHeight="1">
      <c r="A82" t="inlineStr">
        <is>
          <t>A 41097-2021</t>
        </is>
      </c>
      <c r="B82" s="1" t="n">
        <v>44422</v>
      </c>
      <c r="C82" s="1" t="n">
        <v>45744</v>
      </c>
      <c r="D82" t="inlineStr">
        <is>
          <t>VÄSTMANLANDS LÄN</t>
        </is>
      </c>
      <c r="E82" t="inlineStr">
        <is>
          <t>FAGERSTA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56733-2021</t>
        </is>
      </c>
      <c r="B83" s="1" t="n">
        <v>44481</v>
      </c>
      <c r="C83" s="1" t="n">
        <v>45744</v>
      </c>
      <c r="D83" t="inlineStr">
        <is>
          <t>VÄSTMANLANDS LÄN</t>
        </is>
      </c>
      <c r="E83" t="inlineStr">
        <is>
          <t>FAGERSTA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56739-2021</t>
        </is>
      </c>
      <c r="B84" s="1" t="n">
        <v>44481</v>
      </c>
      <c r="C84" s="1" t="n">
        <v>45744</v>
      </c>
      <c r="D84" t="inlineStr">
        <is>
          <t>VÄSTMANLANDS LÄN</t>
        </is>
      </c>
      <c r="E84" t="inlineStr">
        <is>
          <t>FAGERSTA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62470-2021</t>
        </is>
      </c>
      <c r="B85" s="1" t="n">
        <v>44503</v>
      </c>
      <c r="C85" s="1" t="n">
        <v>45744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63756-2021</t>
        </is>
      </c>
      <c r="B86" s="1" t="n">
        <v>44509</v>
      </c>
      <c r="C86" s="1" t="n">
        <v>45744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68174-2021</t>
        </is>
      </c>
      <c r="B87" s="1" t="n">
        <v>44526</v>
      </c>
      <c r="C87" s="1" t="n">
        <v>45744</v>
      </c>
      <c r="D87" t="inlineStr">
        <is>
          <t>VÄSTMANLANDS LÄN</t>
        </is>
      </c>
      <c r="E87" t="inlineStr">
        <is>
          <t>FAGERSTA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69104-2021</t>
        </is>
      </c>
      <c r="B88" s="1" t="n">
        <v>44530</v>
      </c>
      <c r="C88" s="1" t="n">
        <v>45744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74421-2021</t>
        </is>
      </c>
      <c r="B89" s="1" t="n">
        <v>44533</v>
      </c>
      <c r="C89" s="1" t="n">
        <v>45744</v>
      </c>
      <c r="D89" t="inlineStr">
        <is>
          <t>VÄSTMANLANDS LÄN</t>
        </is>
      </c>
      <c r="E89" t="inlineStr">
        <is>
          <t>FAGERSTA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70012-2021</t>
        </is>
      </c>
      <c r="B90" s="1" t="n">
        <v>44533</v>
      </c>
      <c r="C90" s="1" t="n">
        <v>45744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74356-2021</t>
        </is>
      </c>
      <c r="B91" s="1" t="n">
        <v>44559</v>
      </c>
      <c r="C91" s="1" t="n">
        <v>45744</v>
      </c>
      <c r="D91" t="inlineStr">
        <is>
          <t>VÄSTMANLANDS LÄN</t>
        </is>
      </c>
      <c r="E91" t="inlineStr">
        <is>
          <t>FAGERSTA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74423-2021</t>
        </is>
      </c>
      <c r="B92" s="1" t="n">
        <v>44564</v>
      </c>
      <c r="C92" s="1" t="n">
        <v>45744</v>
      </c>
      <c r="D92" t="inlineStr">
        <is>
          <t>VÄSTMANLANDS LÄN</t>
        </is>
      </c>
      <c r="E92" t="inlineStr">
        <is>
          <t>FAGERSTA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74425-2021</t>
        </is>
      </c>
      <c r="B93" s="1" t="n">
        <v>44564</v>
      </c>
      <c r="C93" s="1" t="n">
        <v>45744</v>
      </c>
      <c r="D93" t="inlineStr">
        <is>
          <t>VÄSTMANLANDS LÄN</t>
        </is>
      </c>
      <c r="E93" t="inlineStr">
        <is>
          <t>FAGERSTA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3682-2022</t>
        </is>
      </c>
      <c r="B94" s="1" t="n">
        <v>44586</v>
      </c>
      <c r="C94" s="1" t="n">
        <v>45744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4205-2022</t>
        </is>
      </c>
      <c r="B95" s="1" t="n">
        <v>44588</v>
      </c>
      <c r="C95" s="1" t="n">
        <v>45744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17320-2022</t>
        </is>
      </c>
      <c r="B96" s="1" t="n">
        <v>44678</v>
      </c>
      <c r="C96" s="1" t="n">
        <v>45744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17863-2022</t>
        </is>
      </c>
      <c r="B97" s="1" t="n">
        <v>44683</v>
      </c>
      <c r="C97" s="1" t="n">
        <v>45744</v>
      </c>
      <c r="D97" t="inlineStr">
        <is>
          <t>VÄSTMANLANDS LÄN</t>
        </is>
      </c>
      <c r="E97" t="inlineStr">
        <is>
          <t>FAGERSTA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17865-2022</t>
        </is>
      </c>
      <c r="B98" s="1" t="n">
        <v>44683</v>
      </c>
      <c r="C98" s="1" t="n">
        <v>45744</v>
      </c>
      <c r="D98" t="inlineStr">
        <is>
          <t>VÄSTMANLANDS LÄN</t>
        </is>
      </c>
      <c r="E98" t="inlineStr">
        <is>
          <t>FAGERSTA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17989-2022</t>
        </is>
      </c>
      <c r="B99" s="1" t="n">
        <v>44683</v>
      </c>
      <c r="C99" s="1" t="n">
        <v>45744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23781-2022</t>
        </is>
      </c>
      <c r="B100" s="1" t="n">
        <v>44722</v>
      </c>
      <c r="C100" s="1" t="n">
        <v>45744</v>
      </c>
      <c r="D100" t="inlineStr">
        <is>
          <t>VÄSTMANLANDS LÄN</t>
        </is>
      </c>
      <c r="E100" t="inlineStr">
        <is>
          <t>FAGERSTA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25057-2022</t>
        </is>
      </c>
      <c r="B101" s="1" t="n">
        <v>44729</v>
      </c>
      <c r="C101" s="1" t="n">
        <v>45744</v>
      </c>
      <c r="D101" t="inlineStr">
        <is>
          <t>VÄSTMANLANDS LÄN</t>
        </is>
      </c>
      <c r="E101" t="inlineStr">
        <is>
          <t>FAGERSTA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25053-2022</t>
        </is>
      </c>
      <c r="B102" s="1" t="n">
        <v>44729</v>
      </c>
      <c r="C102" s="1" t="n">
        <v>45744</v>
      </c>
      <c r="D102" t="inlineStr">
        <is>
          <t>VÄSTMANLANDS LÄN</t>
        </is>
      </c>
      <c r="E102" t="inlineStr">
        <is>
          <t>FAGERSTA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26509-2022</t>
        </is>
      </c>
      <c r="B103" s="1" t="n">
        <v>44739</v>
      </c>
      <c r="C103" s="1" t="n">
        <v>45744</v>
      </c>
      <c r="D103" t="inlineStr">
        <is>
          <t>VÄSTMANLANDS LÄN</t>
        </is>
      </c>
      <c r="E103" t="inlineStr">
        <is>
          <t>FAGERSTA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28249-2022</t>
        </is>
      </c>
      <c r="B104" s="1" t="n">
        <v>44746</v>
      </c>
      <c r="C104" s="1" t="n">
        <v>45744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29513-2022</t>
        </is>
      </c>
      <c r="B105" s="1" t="n">
        <v>44753</v>
      </c>
      <c r="C105" s="1" t="n">
        <v>45744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29510-2022</t>
        </is>
      </c>
      <c r="B106" s="1" t="n">
        <v>44753</v>
      </c>
      <c r="C106" s="1" t="n">
        <v>45744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30813-2022</t>
        </is>
      </c>
      <c r="B107" s="1" t="n">
        <v>44765</v>
      </c>
      <c r="C107" s="1" t="n">
        <v>45744</v>
      </c>
      <c r="D107" t="inlineStr">
        <is>
          <t>VÄSTMANLANDS LÄN</t>
        </is>
      </c>
      <c r="E107" t="inlineStr">
        <is>
          <t>FAGERSTA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30868-2022</t>
        </is>
      </c>
      <c r="B108" s="1" t="n">
        <v>44767</v>
      </c>
      <c r="C108" s="1" t="n">
        <v>45744</v>
      </c>
      <c r="D108" t="inlineStr">
        <is>
          <t>VÄSTMANLANDS LÄN</t>
        </is>
      </c>
      <c r="E108" t="inlineStr">
        <is>
          <t>FAGERSTA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31831-2022</t>
        </is>
      </c>
      <c r="B109" s="1" t="n">
        <v>44776</v>
      </c>
      <c r="C109" s="1" t="n">
        <v>45744</v>
      </c>
      <c r="D109" t="inlineStr">
        <is>
          <t>VÄSTMANLANDS LÄN</t>
        </is>
      </c>
      <c r="E109" t="inlineStr">
        <is>
          <t>FAGERSTA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32249-2022</t>
        </is>
      </c>
      <c r="B110" s="1" t="n">
        <v>44781</v>
      </c>
      <c r="C110" s="1" t="n">
        <v>45744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34733-2022</t>
        </is>
      </c>
      <c r="B111" s="1" t="n">
        <v>44795</v>
      </c>
      <c r="C111" s="1" t="n">
        <v>45744</v>
      </c>
      <c r="D111" t="inlineStr">
        <is>
          <t>VÄSTMANLANDS LÄN</t>
        </is>
      </c>
      <c r="E111" t="inlineStr">
        <is>
          <t>FAGERSTA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39214-2022</t>
        </is>
      </c>
      <c r="B112" s="1" t="n">
        <v>44817</v>
      </c>
      <c r="C112" s="1" t="n">
        <v>45744</v>
      </c>
      <c r="D112" t="inlineStr">
        <is>
          <t>VÄSTMANLANDS LÄN</t>
        </is>
      </c>
      <c r="E112" t="inlineStr">
        <is>
          <t>FAGERSTA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40864-2022</t>
        </is>
      </c>
      <c r="B113" s="1" t="n">
        <v>44825</v>
      </c>
      <c r="C113" s="1" t="n">
        <v>45744</v>
      </c>
      <c r="D113" t="inlineStr">
        <is>
          <t>VÄSTMANLANDS LÄN</t>
        </is>
      </c>
      <c r="E113" t="inlineStr">
        <is>
          <t>FAGERSTA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44711-2022</t>
        </is>
      </c>
      <c r="B114" s="1" t="n">
        <v>44840</v>
      </c>
      <c r="C114" s="1" t="n">
        <v>45744</v>
      </c>
      <c r="D114" t="inlineStr">
        <is>
          <t>VÄSTMANLANDS LÄN</t>
        </is>
      </c>
      <c r="E114" t="inlineStr">
        <is>
          <t>FAGERSTA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44710-2022</t>
        </is>
      </c>
      <c r="B115" s="1" t="n">
        <v>44840</v>
      </c>
      <c r="C115" s="1" t="n">
        <v>45744</v>
      </c>
      <c r="D115" t="inlineStr">
        <is>
          <t>VÄSTMANLANDS LÄN</t>
        </is>
      </c>
      <c r="E115" t="inlineStr">
        <is>
          <t>FAGERSTA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48261-2022</t>
        </is>
      </c>
      <c r="B116" s="1" t="n">
        <v>44858</v>
      </c>
      <c r="C116" s="1" t="n">
        <v>45744</v>
      </c>
      <c r="D116" t="inlineStr">
        <is>
          <t>VÄSTMANLANDS LÄN</t>
        </is>
      </c>
      <c r="E116" t="inlineStr">
        <is>
          <t>FAGERSTA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49311-2022</t>
        </is>
      </c>
      <c r="B117" s="1" t="n">
        <v>44861</v>
      </c>
      <c r="C117" s="1" t="n">
        <v>45744</v>
      </c>
      <c r="D117" t="inlineStr">
        <is>
          <t>VÄSTMANLANDS LÄN</t>
        </is>
      </c>
      <c r="E117" t="inlineStr">
        <is>
          <t>FAGERSTA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51936-2022</t>
        </is>
      </c>
      <c r="B118" s="1" t="n">
        <v>44872</v>
      </c>
      <c r="C118" s="1" t="n">
        <v>45744</v>
      </c>
      <c r="D118" t="inlineStr">
        <is>
          <t>VÄSTMANLANDS LÄN</t>
        </is>
      </c>
      <c r="E118" t="inlineStr">
        <is>
          <t>FAGERSTA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57248-2022</t>
        </is>
      </c>
      <c r="B119" s="1" t="n">
        <v>44895</v>
      </c>
      <c r="C119" s="1" t="n">
        <v>45744</v>
      </c>
      <c r="D119" t="inlineStr">
        <is>
          <t>VÄSTMANLANDS LÄN</t>
        </is>
      </c>
      <c r="E119" t="inlineStr">
        <is>
          <t>FAGERSTA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62095-2022</t>
        </is>
      </c>
      <c r="B120" s="1" t="n">
        <v>44919</v>
      </c>
      <c r="C120" s="1" t="n">
        <v>45744</v>
      </c>
      <c r="D120" t="inlineStr">
        <is>
          <t>VÄSTMANLANDS LÄN</t>
        </is>
      </c>
      <c r="E120" t="inlineStr">
        <is>
          <t>FAGERSTA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</v>
      </c>
      <c r="C121" s="1" t="n">
        <v>45744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7385-2023</t>
        </is>
      </c>
      <c r="B122" s="1" t="n">
        <v>44971</v>
      </c>
      <c r="C122" s="1" t="n">
        <v>45744</v>
      </c>
      <c r="D122" t="inlineStr">
        <is>
          <t>VÄSTMANLANDS LÄN</t>
        </is>
      </c>
      <c r="E122" t="inlineStr">
        <is>
          <t>FAGERSTA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7396-2023</t>
        </is>
      </c>
      <c r="B123" s="1" t="n">
        <v>44971</v>
      </c>
      <c r="C123" s="1" t="n">
        <v>45744</v>
      </c>
      <c r="D123" t="inlineStr">
        <is>
          <t>VÄSTMANLANDS LÄN</t>
        </is>
      </c>
      <c r="E123" t="inlineStr">
        <is>
          <t>FAGERSTA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8264-2023</t>
        </is>
      </c>
      <c r="B124" s="1" t="n">
        <v>44974</v>
      </c>
      <c r="C124" s="1" t="n">
        <v>45744</v>
      </c>
      <c r="D124" t="inlineStr">
        <is>
          <t>VÄSTMANLANDS LÄN</t>
        </is>
      </c>
      <c r="E124" t="inlineStr">
        <is>
          <t>FAGERSTA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10380-2023</t>
        </is>
      </c>
      <c r="B125" s="1" t="n">
        <v>44987</v>
      </c>
      <c r="C125" s="1" t="n">
        <v>45744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45744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11748-2023</t>
        </is>
      </c>
      <c r="B127" s="1" t="n">
        <v>44994</v>
      </c>
      <c r="C127" s="1" t="n">
        <v>45744</v>
      </c>
      <c r="D127" t="inlineStr">
        <is>
          <t>VÄSTMANLANDS LÄN</t>
        </is>
      </c>
      <c r="E127" t="inlineStr">
        <is>
          <t>FAGERSTA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11660-2023</t>
        </is>
      </c>
      <c r="B128" s="1" t="n">
        <v>44994</v>
      </c>
      <c r="C128" s="1" t="n">
        <v>45744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11757-2023</t>
        </is>
      </c>
      <c r="B129" s="1" t="n">
        <v>44994</v>
      </c>
      <c r="C129" s="1" t="n">
        <v>45744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12121-2023</t>
        </is>
      </c>
      <c r="B130" s="1" t="n">
        <v>44998</v>
      </c>
      <c r="C130" s="1" t="n">
        <v>45744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12125-2023</t>
        </is>
      </c>
      <c r="B131" s="1" t="n">
        <v>44998</v>
      </c>
      <c r="C131" s="1" t="n">
        <v>45744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15297-2023</t>
        </is>
      </c>
      <c r="B132" s="1" t="n">
        <v>45019</v>
      </c>
      <c r="C132" s="1" t="n">
        <v>45744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26.3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18187-2023</t>
        </is>
      </c>
      <c r="B133" s="1" t="n">
        <v>45041</v>
      </c>
      <c r="C133" s="1" t="n">
        <v>45744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18186-2023</t>
        </is>
      </c>
      <c r="B134" s="1" t="n">
        <v>45041</v>
      </c>
      <c r="C134" s="1" t="n">
        <v>45744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18184-2023</t>
        </is>
      </c>
      <c r="B135" s="1" t="n">
        <v>45041</v>
      </c>
      <c r="C135" s="1" t="n">
        <v>45744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18188-2023</t>
        </is>
      </c>
      <c r="B136" s="1" t="n">
        <v>45041</v>
      </c>
      <c r="C136" s="1" t="n">
        <v>45744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19991-2023</t>
        </is>
      </c>
      <c r="B137" s="1" t="n">
        <v>45054</v>
      </c>
      <c r="C137" s="1" t="n">
        <v>45744</v>
      </c>
      <c r="D137" t="inlineStr">
        <is>
          <t>VÄSTMANLANDS LÄN</t>
        </is>
      </c>
      <c r="E137" t="inlineStr">
        <is>
          <t>FAGERSTA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20071-2023</t>
        </is>
      </c>
      <c r="B138" s="1" t="n">
        <v>45054</v>
      </c>
      <c r="C138" s="1" t="n">
        <v>45744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22391-2023</t>
        </is>
      </c>
      <c r="B139" s="1" t="n">
        <v>45069</v>
      </c>
      <c r="C139" s="1" t="n">
        <v>45744</v>
      </c>
      <c r="D139" t="inlineStr">
        <is>
          <t>VÄSTMANLANDS LÄN</t>
        </is>
      </c>
      <c r="E139" t="inlineStr">
        <is>
          <t>FAGERSTA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22482-2023</t>
        </is>
      </c>
      <c r="B140" s="1" t="n">
        <v>45071</v>
      </c>
      <c r="C140" s="1" t="n">
        <v>45744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22484-2023</t>
        </is>
      </c>
      <c r="B141" s="1" t="n">
        <v>45071</v>
      </c>
      <c r="C141" s="1" t="n">
        <v>45744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22485-2023</t>
        </is>
      </c>
      <c r="B142" s="1" t="n">
        <v>45071</v>
      </c>
      <c r="C142" s="1" t="n">
        <v>45744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22483-2023</t>
        </is>
      </c>
      <c r="B143" s="1" t="n">
        <v>45071</v>
      </c>
      <c r="C143" s="1" t="n">
        <v>45744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22817-2023</t>
        </is>
      </c>
      <c r="B144" s="1" t="n">
        <v>45072</v>
      </c>
      <c r="C144" s="1" t="n">
        <v>45744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27201-2023</t>
        </is>
      </c>
      <c r="B145" s="1" t="n">
        <v>45096</v>
      </c>
      <c r="C145" s="1" t="n">
        <v>45744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27747-2023</t>
        </is>
      </c>
      <c r="B146" s="1" t="n">
        <v>45098</v>
      </c>
      <c r="C146" s="1" t="n">
        <v>45744</v>
      </c>
      <c r="D146" t="inlineStr">
        <is>
          <t>VÄSTMANLANDS LÄN</t>
        </is>
      </c>
      <c r="E146" t="inlineStr">
        <is>
          <t>FAGERSTA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27731-2023</t>
        </is>
      </c>
      <c r="B147" s="1" t="n">
        <v>45098</v>
      </c>
      <c r="C147" s="1" t="n">
        <v>45744</v>
      </c>
      <c r="D147" t="inlineStr">
        <is>
          <t>VÄSTMANLANDS LÄN</t>
        </is>
      </c>
      <c r="E147" t="inlineStr">
        <is>
          <t>FAGERSTA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27737-2023</t>
        </is>
      </c>
      <c r="B148" s="1" t="n">
        <v>45098</v>
      </c>
      <c r="C148" s="1" t="n">
        <v>45744</v>
      </c>
      <c r="D148" t="inlineStr">
        <is>
          <t>VÄSTMANLANDS LÄN</t>
        </is>
      </c>
      <c r="E148" t="inlineStr">
        <is>
          <t>FAGERSTA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45744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45744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45744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45744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45744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45744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45744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45744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45744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45744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45744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45744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45744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45744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45744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45744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45744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45744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45744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45744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45744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45744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45744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63480-2023</t>
        </is>
      </c>
      <c r="B172" s="1" t="n">
        <v>45274</v>
      </c>
      <c r="C172" s="1" t="n">
        <v>45744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13721-2024</t>
        </is>
      </c>
      <c r="B173" s="1" t="n">
        <v>45390</v>
      </c>
      <c r="C173" s="1" t="n">
        <v>45744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20909-2024</t>
        </is>
      </c>
      <c r="B174" s="1" t="n">
        <v>45439</v>
      </c>
      <c r="C174" s="1" t="n">
        <v>45744</v>
      </c>
      <c r="D174" t="inlineStr">
        <is>
          <t>VÄSTMANLANDS LÄN</t>
        </is>
      </c>
      <c r="E174" t="inlineStr">
        <is>
          <t>FAGERSTA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21679-2024</t>
        </is>
      </c>
      <c r="B175" s="1" t="n">
        <v>45442</v>
      </c>
      <c r="C175" s="1" t="n">
        <v>45744</v>
      </c>
      <c r="D175" t="inlineStr">
        <is>
          <t>VÄSTMANLANDS LÄN</t>
        </is>
      </c>
      <c r="E175" t="inlineStr">
        <is>
          <t>FAGERSTA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21661-2024</t>
        </is>
      </c>
      <c r="B176" s="1" t="n">
        <v>45442</v>
      </c>
      <c r="C176" s="1" t="n">
        <v>45744</v>
      </c>
      <c r="D176" t="inlineStr">
        <is>
          <t>VÄSTMANLANDS LÄN</t>
        </is>
      </c>
      <c r="E176" t="inlineStr">
        <is>
          <t>FAGERSTA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21665-2024</t>
        </is>
      </c>
      <c r="B177" s="1" t="n">
        <v>45442</v>
      </c>
      <c r="C177" s="1" t="n">
        <v>45744</v>
      </c>
      <c r="D177" t="inlineStr">
        <is>
          <t>VÄSTMANLANDS LÄN</t>
        </is>
      </c>
      <c r="E177" t="inlineStr">
        <is>
          <t>FAGERSTA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22336-2024</t>
        </is>
      </c>
      <c r="B178" s="1" t="n">
        <v>45446</v>
      </c>
      <c r="C178" s="1" t="n">
        <v>45744</v>
      </c>
      <c r="D178" t="inlineStr">
        <is>
          <t>VÄSTMANLANDS LÄN</t>
        </is>
      </c>
      <c r="E178" t="inlineStr">
        <is>
          <t>FAGERSTA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22323-2024</t>
        </is>
      </c>
      <c r="B179" s="1" t="n">
        <v>45446</v>
      </c>
      <c r="C179" s="1" t="n">
        <v>45744</v>
      </c>
      <c r="D179" t="inlineStr">
        <is>
          <t>VÄSTMANLANDS LÄN</t>
        </is>
      </c>
      <c r="E179" t="inlineStr">
        <is>
          <t>FAGERSTA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25677-2024</t>
        </is>
      </c>
      <c r="B180" s="1" t="n">
        <v>45463</v>
      </c>
      <c r="C180" s="1" t="n">
        <v>45744</v>
      </c>
      <c r="D180" t="inlineStr">
        <is>
          <t>VÄSTMANLANDS LÄN</t>
        </is>
      </c>
      <c r="E180" t="inlineStr">
        <is>
          <t>FAGERSTA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25756-2024</t>
        </is>
      </c>
      <c r="B181" s="1" t="n">
        <v>45465</v>
      </c>
      <c r="C181" s="1" t="n">
        <v>45744</v>
      </c>
      <c r="D181" t="inlineStr">
        <is>
          <t>VÄSTMANLANDS LÄN</t>
        </is>
      </c>
      <c r="E181" t="inlineStr">
        <is>
          <t>FAGERSTA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28113-2024</t>
        </is>
      </c>
      <c r="B182" s="1" t="n">
        <v>45476</v>
      </c>
      <c r="C182" s="1" t="n">
        <v>45744</v>
      </c>
      <c r="D182" t="inlineStr">
        <is>
          <t>VÄSTMANLANDS LÄN</t>
        </is>
      </c>
      <c r="E182" t="inlineStr">
        <is>
          <t>FAGERSTA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28203-2024</t>
        </is>
      </c>
      <c r="B183" s="1" t="n">
        <v>45477</v>
      </c>
      <c r="C183" s="1" t="n">
        <v>45744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28201-2024</t>
        </is>
      </c>
      <c r="B184" s="1" t="n">
        <v>45477</v>
      </c>
      <c r="C184" s="1" t="n">
        <v>45744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28205-2024</t>
        </is>
      </c>
      <c r="B185" s="1" t="n">
        <v>45477</v>
      </c>
      <c r="C185" s="1" t="n">
        <v>45744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28207-2024</t>
        </is>
      </c>
      <c r="B186" s="1" t="n">
        <v>45477</v>
      </c>
      <c r="C186" s="1" t="n">
        <v>45744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30356-2024</t>
        </is>
      </c>
      <c r="B187" s="1" t="n">
        <v>45491</v>
      </c>
      <c r="C187" s="1" t="n">
        <v>45744</v>
      </c>
      <c r="D187" t="inlineStr">
        <is>
          <t>VÄSTMANLANDS LÄN</t>
        </is>
      </c>
      <c r="E187" t="inlineStr">
        <is>
          <t>FAGERSTA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30357-2024</t>
        </is>
      </c>
      <c r="B188" s="1" t="n">
        <v>45491</v>
      </c>
      <c r="C188" s="1" t="n">
        <v>45744</v>
      </c>
      <c r="D188" t="inlineStr">
        <is>
          <t>VÄSTMANLANDS LÄN</t>
        </is>
      </c>
      <c r="E188" t="inlineStr">
        <is>
          <t>FAGERSTA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31231-2024</t>
        </is>
      </c>
      <c r="B189" s="1" t="n">
        <v>45503</v>
      </c>
      <c r="C189" s="1" t="n">
        <v>45744</v>
      </c>
      <c r="D189" t="inlineStr">
        <is>
          <t>VÄSTMANLANDS LÄN</t>
        </is>
      </c>
      <c r="E189" t="inlineStr">
        <is>
          <t>FAGERSTA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34160-2024</t>
        </is>
      </c>
      <c r="B190" s="1" t="n">
        <v>45524</v>
      </c>
      <c r="C190" s="1" t="n">
        <v>45744</v>
      </c>
      <c r="D190" t="inlineStr">
        <is>
          <t>VÄSTMANLANDS LÄN</t>
        </is>
      </c>
      <c r="E190" t="inlineStr">
        <is>
          <t>FAGERSTA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35062-2024</t>
        </is>
      </c>
      <c r="B191" s="1" t="n">
        <v>45527</v>
      </c>
      <c r="C191" s="1" t="n">
        <v>45744</v>
      </c>
      <c r="D191" t="inlineStr">
        <is>
          <t>VÄSTMANLANDS LÄN</t>
        </is>
      </c>
      <c r="E191" t="inlineStr">
        <is>
          <t>FAGERSTA</t>
        </is>
      </c>
      <c r="F191" t="inlineStr">
        <is>
          <t>Sveaskog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35736-2024</t>
        </is>
      </c>
      <c r="B192" s="1" t="n">
        <v>45532</v>
      </c>
      <c r="C192" s="1" t="n">
        <v>45744</v>
      </c>
      <c r="D192" t="inlineStr">
        <is>
          <t>VÄSTMANLANDS LÄN</t>
        </is>
      </c>
      <c r="E192" t="inlineStr">
        <is>
          <t>FAGERSTA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37418-2024</t>
        </is>
      </c>
      <c r="B193" s="1" t="n">
        <v>45540</v>
      </c>
      <c r="C193" s="1" t="n">
        <v>45744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37433-2024</t>
        </is>
      </c>
      <c r="B194" s="1" t="n">
        <v>45540</v>
      </c>
      <c r="C194" s="1" t="n">
        <v>45744</v>
      </c>
      <c r="D194" t="inlineStr">
        <is>
          <t>VÄSTMANLANDS LÄN</t>
        </is>
      </c>
      <c r="E194" t="inlineStr">
        <is>
          <t>FAGERSTA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39155-2024</t>
        </is>
      </c>
      <c r="B195" s="1" t="n">
        <v>45548</v>
      </c>
      <c r="C195" s="1" t="n">
        <v>45744</v>
      </c>
      <c r="D195" t="inlineStr">
        <is>
          <t>VÄSTMANLANDS LÄN</t>
        </is>
      </c>
      <c r="E195" t="inlineStr">
        <is>
          <t>FAGERSTA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39157-2024</t>
        </is>
      </c>
      <c r="B196" s="1" t="n">
        <v>45548</v>
      </c>
      <c r="C196" s="1" t="n">
        <v>45744</v>
      </c>
      <c r="D196" t="inlineStr">
        <is>
          <t>VÄSTMANLANDS LÄN</t>
        </is>
      </c>
      <c r="E196" t="inlineStr">
        <is>
          <t>FAGERSTA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39855-2024</t>
        </is>
      </c>
      <c r="B197" s="1" t="n">
        <v>45553</v>
      </c>
      <c r="C197" s="1" t="n">
        <v>45744</v>
      </c>
      <c r="D197" t="inlineStr">
        <is>
          <t>VÄSTMANLANDS LÄN</t>
        </is>
      </c>
      <c r="E197" t="inlineStr">
        <is>
          <t>FAGERSTA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42683-2024</t>
        </is>
      </c>
      <c r="B198" s="1" t="n">
        <v>45565</v>
      </c>
      <c r="C198" s="1" t="n">
        <v>45744</v>
      </c>
      <c r="D198" t="inlineStr">
        <is>
          <t>VÄSTMANLANDS LÄN</t>
        </is>
      </c>
      <c r="E198" t="inlineStr">
        <is>
          <t>FAGERSTA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42844-2024</t>
        </is>
      </c>
      <c r="B199" s="1" t="n">
        <v>45566</v>
      </c>
      <c r="C199" s="1" t="n">
        <v>45744</v>
      </c>
      <c r="D199" t="inlineStr">
        <is>
          <t>VÄSTMANLANDS LÄN</t>
        </is>
      </c>
      <c r="E199" t="inlineStr">
        <is>
          <t>FAGERSTA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43071-2024</t>
        </is>
      </c>
      <c r="B200" s="1" t="n">
        <v>45567</v>
      </c>
      <c r="C200" s="1" t="n">
        <v>45744</v>
      </c>
      <c r="D200" t="inlineStr">
        <is>
          <t>VÄSTMANLANDS LÄN</t>
        </is>
      </c>
      <c r="E200" t="inlineStr">
        <is>
          <t>FAGERSTA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44420-2024</t>
        </is>
      </c>
      <c r="B201" s="1" t="n">
        <v>45573</v>
      </c>
      <c r="C201" s="1" t="n">
        <v>45744</v>
      </c>
      <c r="D201" t="inlineStr">
        <is>
          <t>VÄSTMANLANDS LÄN</t>
        </is>
      </c>
      <c r="E201" t="inlineStr">
        <is>
          <t>FAGERSTA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48813-2024</t>
        </is>
      </c>
      <c r="B202" s="1" t="n">
        <v>45593</v>
      </c>
      <c r="C202" s="1" t="n">
        <v>45744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48816-2024</t>
        </is>
      </c>
      <c r="B203" s="1" t="n">
        <v>45593</v>
      </c>
      <c r="C203" s="1" t="n">
        <v>45744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48814-2024</t>
        </is>
      </c>
      <c r="B204" s="1" t="n">
        <v>45593</v>
      </c>
      <c r="C204" s="1" t="n">
        <v>45744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50209-2024</t>
        </is>
      </c>
      <c r="B205" s="1" t="n">
        <v>45600</v>
      </c>
      <c r="C205" s="1" t="n">
        <v>45744</v>
      </c>
      <c r="D205" t="inlineStr">
        <is>
          <t>VÄSTMANLANDS LÄN</t>
        </is>
      </c>
      <c r="E205" t="inlineStr">
        <is>
          <t>FAGERSTA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50333-2024</t>
        </is>
      </c>
      <c r="B206" s="1" t="n">
        <v>45600</v>
      </c>
      <c r="C206" s="1" t="n">
        <v>45744</v>
      </c>
      <c r="D206" t="inlineStr">
        <is>
          <t>VÄSTMANLANDS LÄN</t>
        </is>
      </c>
      <c r="E206" t="inlineStr">
        <is>
          <t>FAGERSTA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51467-2024</t>
        </is>
      </c>
      <c r="B207" s="1" t="n">
        <v>45604</v>
      </c>
      <c r="C207" s="1" t="n">
        <v>45744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51969-2024</t>
        </is>
      </c>
      <c r="B208" s="1" t="n">
        <v>45607</v>
      </c>
      <c r="C208" s="1" t="n">
        <v>45744</v>
      </c>
      <c r="D208" t="inlineStr">
        <is>
          <t>VÄSTMANLANDS LÄN</t>
        </is>
      </c>
      <c r="E208" t="inlineStr">
        <is>
          <t>FAGERSTA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52337-2024</t>
        </is>
      </c>
      <c r="B209" s="1" t="n">
        <v>45609</v>
      </c>
      <c r="C209" s="1" t="n">
        <v>45744</v>
      </c>
      <c r="D209" t="inlineStr">
        <is>
          <t>VÄSTMANLANDS LÄN</t>
        </is>
      </c>
      <c r="E209" t="inlineStr">
        <is>
          <t>FAGERSTA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53812-2024</t>
        </is>
      </c>
      <c r="B210" s="1" t="n">
        <v>45615</v>
      </c>
      <c r="C210" s="1" t="n">
        <v>45744</v>
      </c>
      <c r="D210" t="inlineStr">
        <is>
          <t>VÄSTMANLANDS LÄN</t>
        </is>
      </c>
      <c r="E210" t="inlineStr">
        <is>
          <t>FAGERSTA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53798-2024</t>
        </is>
      </c>
      <c r="B211" s="1" t="n">
        <v>45615</v>
      </c>
      <c r="C211" s="1" t="n">
        <v>45744</v>
      </c>
      <c r="D211" t="inlineStr">
        <is>
          <t>VÄSTMANLANDS LÄN</t>
        </is>
      </c>
      <c r="E211" t="inlineStr">
        <is>
          <t>FAGERSTA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56694-2024</t>
        </is>
      </c>
      <c r="B212" s="1" t="n">
        <v>45627</v>
      </c>
      <c r="C212" s="1" t="n">
        <v>45744</v>
      </c>
      <c r="D212" t="inlineStr">
        <is>
          <t>VÄSTMANLANDS LÄN</t>
        </is>
      </c>
      <c r="E212" t="inlineStr">
        <is>
          <t>FAGERSTA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56698-2024</t>
        </is>
      </c>
      <c r="B213" s="1" t="n">
        <v>45627</v>
      </c>
      <c r="C213" s="1" t="n">
        <v>45744</v>
      </c>
      <c r="D213" t="inlineStr">
        <is>
          <t>VÄSTMANLANDS LÄN</t>
        </is>
      </c>
      <c r="E213" t="inlineStr">
        <is>
          <t>FAGERSTA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56696-2024</t>
        </is>
      </c>
      <c r="B214" s="1" t="n">
        <v>45627</v>
      </c>
      <c r="C214" s="1" t="n">
        <v>45744</v>
      </c>
      <c r="D214" t="inlineStr">
        <is>
          <t>VÄSTMANLANDS LÄN</t>
        </is>
      </c>
      <c r="E214" t="inlineStr">
        <is>
          <t>FAGERSTA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56704-2024</t>
        </is>
      </c>
      <c r="B215" s="1" t="n">
        <v>45627</v>
      </c>
      <c r="C215" s="1" t="n">
        <v>45744</v>
      </c>
      <c r="D215" t="inlineStr">
        <is>
          <t>VÄSTMANLANDS LÄN</t>
        </is>
      </c>
      <c r="E215" t="inlineStr">
        <is>
          <t>FAGERSTA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56699-2024</t>
        </is>
      </c>
      <c r="B216" s="1" t="n">
        <v>45627</v>
      </c>
      <c r="C216" s="1" t="n">
        <v>45744</v>
      </c>
      <c r="D216" t="inlineStr">
        <is>
          <t>VÄSTMANLANDS LÄN</t>
        </is>
      </c>
      <c r="E216" t="inlineStr">
        <is>
          <t>FAGERSTA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58310-2024</t>
        </is>
      </c>
      <c r="B217" s="1" t="n">
        <v>45632</v>
      </c>
      <c r="C217" s="1" t="n">
        <v>45744</v>
      </c>
      <c r="D217" t="inlineStr">
        <is>
          <t>VÄSTMANLANDS LÄN</t>
        </is>
      </c>
      <c r="E217" t="inlineStr">
        <is>
          <t>FAGERSTA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58305-2024</t>
        </is>
      </c>
      <c r="B218" s="1" t="n">
        <v>45632</v>
      </c>
      <c r="C218" s="1" t="n">
        <v>45744</v>
      </c>
      <c r="D218" t="inlineStr">
        <is>
          <t>VÄSTMANLANDS LÄN</t>
        </is>
      </c>
      <c r="E218" t="inlineStr">
        <is>
          <t>FAGERSTA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58460-2024</t>
        </is>
      </c>
      <c r="B219" s="1" t="n">
        <v>45635</v>
      </c>
      <c r="C219" s="1" t="n">
        <v>45744</v>
      </c>
      <c r="D219" t="inlineStr">
        <is>
          <t>VÄSTMANLANDS LÄN</t>
        </is>
      </c>
      <c r="E219" t="inlineStr">
        <is>
          <t>FAGERSTA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58464-2024</t>
        </is>
      </c>
      <c r="B220" s="1" t="n">
        <v>45635</v>
      </c>
      <c r="C220" s="1" t="n">
        <v>45744</v>
      </c>
      <c r="D220" t="inlineStr">
        <is>
          <t>VÄSTMANLANDS LÄN</t>
        </is>
      </c>
      <c r="E220" t="inlineStr">
        <is>
          <t>FAGERSTA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58468-2024</t>
        </is>
      </c>
      <c r="B221" s="1" t="n">
        <v>45635</v>
      </c>
      <c r="C221" s="1" t="n">
        <v>45744</v>
      </c>
      <c r="D221" t="inlineStr">
        <is>
          <t>VÄSTMANLANDS LÄN</t>
        </is>
      </c>
      <c r="E221" t="inlineStr">
        <is>
          <t>FAGERSTA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58594-2024</t>
        </is>
      </c>
      <c r="B222" s="1" t="n">
        <v>45635</v>
      </c>
      <c r="C222" s="1" t="n">
        <v>45744</v>
      </c>
      <c r="D222" t="inlineStr">
        <is>
          <t>VÄSTMANLANDS LÄN</t>
        </is>
      </c>
      <c r="E222" t="inlineStr">
        <is>
          <t>FAGERSTA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58770-2024</t>
        </is>
      </c>
      <c r="B223" s="1" t="n">
        <v>45635</v>
      </c>
      <c r="C223" s="1" t="n">
        <v>45744</v>
      </c>
      <c r="D223" t="inlineStr">
        <is>
          <t>VÄSTMANLANDS LÄN</t>
        </is>
      </c>
      <c r="E223" t="inlineStr">
        <is>
          <t>FAGERSTA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194-2025</t>
        </is>
      </c>
      <c r="B224" s="1" t="n">
        <v>45659</v>
      </c>
      <c r="C224" s="1" t="n">
        <v>45744</v>
      </c>
      <c r="D224" t="inlineStr">
        <is>
          <t>VÄSTMANLANDS LÄN</t>
        </is>
      </c>
      <c r="E224" t="inlineStr">
        <is>
          <t>FAGERSTA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4486-2025</t>
        </is>
      </c>
      <c r="B225" s="1" t="n">
        <v>45686</v>
      </c>
      <c r="C225" s="1" t="n">
        <v>45744</v>
      </c>
      <c r="D225" t="inlineStr">
        <is>
          <t>VÄSTMANLANDS LÄN</t>
        </is>
      </c>
      <c r="E225" t="inlineStr">
        <is>
          <t>FAGERSTA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5283-2025</t>
        </is>
      </c>
      <c r="B226" s="1" t="n">
        <v>45692</v>
      </c>
      <c r="C226" s="1" t="n">
        <v>45744</v>
      </c>
      <c r="D226" t="inlineStr">
        <is>
          <t>VÄSTMANLANDS LÄN</t>
        </is>
      </c>
      <c r="E226" t="inlineStr">
        <is>
          <t>FAGERSTA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6322-2025</t>
        </is>
      </c>
      <c r="B227" s="1" t="n">
        <v>45698</v>
      </c>
      <c r="C227" s="1" t="n">
        <v>45744</v>
      </c>
      <c r="D227" t="inlineStr">
        <is>
          <t>VÄSTMANLANDS LÄN</t>
        </is>
      </c>
      <c r="E227" t="inlineStr">
        <is>
          <t>FAGERSTA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7380-2025</t>
        </is>
      </c>
      <c r="B228" s="1" t="n">
        <v>45705</v>
      </c>
      <c r="C228" s="1" t="n">
        <v>45744</v>
      </c>
      <c r="D228" t="inlineStr">
        <is>
          <t>VÄSTMANLANDS LÄN</t>
        </is>
      </c>
      <c r="E228" t="inlineStr">
        <is>
          <t>FAGERSTA</t>
        </is>
      </c>
      <c r="F228" t="inlineStr">
        <is>
          <t>Bergvik skog väst AB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10820-2025</t>
        </is>
      </c>
      <c r="B229" s="1" t="n">
        <v>45722</v>
      </c>
      <c r="C229" s="1" t="n">
        <v>45744</v>
      </c>
      <c r="D229" t="inlineStr">
        <is>
          <t>VÄSTMANLANDS LÄN</t>
        </is>
      </c>
      <c r="E229" t="inlineStr">
        <is>
          <t>FAGERSTA</t>
        </is>
      </c>
      <c r="F229" t="inlineStr">
        <is>
          <t>Sveaskog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11583-2025</t>
        </is>
      </c>
      <c r="B230" s="1" t="n">
        <v>45727</v>
      </c>
      <c r="C230" s="1" t="n">
        <v>45744</v>
      </c>
      <c r="D230" t="inlineStr">
        <is>
          <t>VÄSTMANLANDS LÄN</t>
        </is>
      </c>
      <c r="E230" t="inlineStr">
        <is>
          <t>FAGERSTA</t>
        </is>
      </c>
      <c r="F230" t="inlineStr">
        <is>
          <t>Kommuner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12913-2025</t>
        </is>
      </c>
      <c r="B231" s="1" t="n">
        <v>45733</v>
      </c>
      <c r="C231" s="1" t="n">
        <v>45744</v>
      </c>
      <c r="D231" t="inlineStr">
        <is>
          <t>VÄSTMANLANDS LÄN</t>
        </is>
      </c>
      <c r="E231" t="inlineStr">
        <is>
          <t>FAGERSTA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13495-2025</t>
        </is>
      </c>
      <c r="B232" s="1" t="n">
        <v>45736</v>
      </c>
      <c r="C232" s="1" t="n">
        <v>45744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13697-2025</t>
        </is>
      </c>
      <c r="B233" s="1" t="n">
        <v>45737</v>
      </c>
      <c r="C233" s="1" t="n">
        <v>45744</v>
      </c>
      <c r="D233" t="inlineStr">
        <is>
          <t>VÄSTMANLANDS LÄN</t>
        </is>
      </c>
      <c r="E233" t="inlineStr">
        <is>
          <t>FAGERSTA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13904-2025</t>
        </is>
      </c>
      <c r="B234" s="1" t="n">
        <v>45737</v>
      </c>
      <c r="C234" s="1" t="n">
        <v>45744</v>
      </c>
      <c r="D234" t="inlineStr">
        <is>
          <t>VÄSTMANLANDS LÄN</t>
        </is>
      </c>
      <c r="E234" t="inlineStr">
        <is>
          <t>FAGERSTA</t>
        </is>
      </c>
      <c r="F234" t="inlineStr">
        <is>
          <t>Kommuner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14590-2025</t>
        </is>
      </c>
      <c r="B235" s="1" t="n">
        <v>45742</v>
      </c>
      <c r="C235" s="1" t="n">
        <v>45744</v>
      </c>
      <c r="D235" t="inlineStr">
        <is>
          <t>VÄSTMANLANDS LÄN</t>
        </is>
      </c>
      <c r="E235" t="inlineStr">
        <is>
          <t>FAGERSTA</t>
        </is>
      </c>
      <c r="F235" t="inlineStr">
        <is>
          <t>Kommuner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14782-2025</t>
        </is>
      </c>
      <c r="B236" s="1" t="n">
        <v>45742</v>
      </c>
      <c r="C236" s="1" t="n">
        <v>45744</v>
      </c>
      <c r="D236" t="inlineStr">
        <is>
          <t>VÄSTMANLANDS LÄN</t>
        </is>
      </c>
      <c r="E236" t="inlineStr">
        <is>
          <t>FAGERSTA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2025-03-28T18:31:37Z</dcterms:created>
  <dcterms:modified xmlns:dcterms="http://purl.org/dc/terms/" xmlns:xsi="http://www.w3.org/2001/XMLSchema-instance" xsi:type="dcterms:W3CDTF">2025-03-28T18:31:37Z</dcterms:modified>
</cp:coreProperties>
</file>