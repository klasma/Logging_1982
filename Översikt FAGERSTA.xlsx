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45999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45999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45999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45999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51122-2024</t>
        </is>
      </c>
      <c r="B11" s="1" t="n">
        <v>45603</v>
      </c>
      <c r="C11" s="1" t="n">
        <v>45999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HYPERLINK("https://klasma.github.io/Logging_1982/artfynd/A 51122-2024 artfynd.xlsx", "A 51122-2024")</f>
        <v/>
      </c>
      <c r="T11">
        <f>HYPERLINK("https://klasma.github.io/Logging_1982/kartor/A 51122-2024 karta.png", "A 51122-2024")</f>
        <v/>
      </c>
      <c r="V11">
        <f>HYPERLINK("https://klasma.github.io/Logging_1982/klagomål/A 51122-2024 FSC-klagomål.docx", "A 51122-2024")</f>
        <v/>
      </c>
      <c r="W11">
        <f>HYPERLINK("https://klasma.github.io/Logging_1982/klagomålsmail/A 51122-2024 FSC-klagomål mail.docx", "A 51122-2024")</f>
        <v/>
      </c>
      <c r="X11">
        <f>HYPERLINK("https://klasma.github.io/Logging_1982/tillsyn/A 51122-2024 tillsynsbegäran.docx", "A 51122-2024")</f>
        <v/>
      </c>
      <c r="Y11">
        <f>HYPERLINK("https://klasma.github.io/Logging_1982/tillsynsmail/A 51122-2024 tillsynsbegäran mail.docx", "A 51122-2024")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45999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45999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45999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45999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45999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45999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45999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45999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45999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45999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45999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45999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45999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31831-2022</t>
        </is>
      </c>
      <c r="B34" s="1" t="n">
        <v>44776</v>
      </c>
      <c r="C34" s="1" t="n">
        <v>45999</v>
      </c>
      <c r="D34" t="inlineStr">
        <is>
          <t>VÄSTMANLANDS LÄN</t>
        </is>
      </c>
      <c r="E34" t="inlineStr">
        <is>
          <t>FAGERSTA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45999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41097-2021</t>
        </is>
      </c>
      <c r="B38" s="1" t="n">
        <v>44422</v>
      </c>
      <c r="C38" s="1" t="n">
        <v>45999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28249-2022</t>
        </is>
      </c>
      <c r="B39" s="1" t="n">
        <v>44746</v>
      </c>
      <c r="C39" s="1" t="n">
        <v>45999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22484-2023</t>
        </is>
      </c>
      <c r="B40" s="1" t="n">
        <v>45071</v>
      </c>
      <c r="C40" s="1" t="n">
        <v>45999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17612-2025</t>
        </is>
      </c>
      <c r="B41" s="1" t="n">
        <v>45757.79734953704</v>
      </c>
      <c r="C41" s="1" t="n">
        <v>45999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45999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45999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45999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16545-2025</t>
        </is>
      </c>
      <c r="B45" s="1" t="n">
        <v>45751.68105324074</v>
      </c>
      <c r="C45" s="1" t="n">
        <v>45999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16546-2025</t>
        </is>
      </c>
      <c r="B46" s="1" t="n">
        <v>45751.683125</v>
      </c>
      <c r="C46" s="1" t="n">
        <v>45999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45999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45999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45999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25053-2022</t>
        </is>
      </c>
      <c r="B50" s="1" t="n">
        <v>44729</v>
      </c>
      <c r="C50" s="1" t="n">
        <v>45999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25057-2022</t>
        </is>
      </c>
      <c r="B51" s="1" t="n">
        <v>44729.31541666666</v>
      </c>
      <c r="C51" s="1" t="n">
        <v>45999</v>
      </c>
      <c r="D51" t="inlineStr">
        <is>
          <t>VÄSTMANLANDS LÄN</t>
        </is>
      </c>
      <c r="E51" t="inlineStr">
        <is>
          <t>FAGERSTA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69104-2021</t>
        </is>
      </c>
      <c r="B52" s="1" t="n">
        <v>44530</v>
      </c>
      <c r="C52" s="1" t="n">
        <v>45999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68174-2021</t>
        </is>
      </c>
      <c r="B53" s="1" t="n">
        <v>44526</v>
      </c>
      <c r="C53" s="1" t="n">
        <v>45999</v>
      </c>
      <c r="D53" t="inlineStr">
        <is>
          <t>VÄSTMANLANDS LÄN</t>
        </is>
      </c>
      <c r="E53" t="inlineStr">
        <is>
          <t>FAGERSTA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45999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45999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13495-2025</t>
        </is>
      </c>
      <c r="B56" s="1" t="n">
        <v>45736.44006944444</v>
      </c>
      <c r="C56" s="1" t="n">
        <v>45999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56698-2024</t>
        </is>
      </c>
      <c r="B57" s="1" t="n">
        <v>45627.79015046296</v>
      </c>
      <c r="C57" s="1" t="n">
        <v>45999</v>
      </c>
      <c r="D57" t="inlineStr">
        <is>
          <t>VÄSTMANLANDS LÄN</t>
        </is>
      </c>
      <c r="E57" t="inlineStr">
        <is>
          <t>FAGERSTA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63480-2023</t>
        </is>
      </c>
      <c r="B58" s="1" t="n">
        <v>45274</v>
      </c>
      <c r="C58" s="1" t="n">
        <v>45999</v>
      </c>
      <c r="D58" t="inlineStr">
        <is>
          <t>VÄSTMANLANDS LÄN</t>
        </is>
      </c>
      <c r="E58" t="inlineStr">
        <is>
          <t>FAGERSTA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45999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10851-2023</t>
        </is>
      </c>
      <c r="B60" s="1" t="n">
        <v>44991</v>
      </c>
      <c r="C60" s="1" t="n">
        <v>45999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4264-2023</t>
        </is>
      </c>
      <c r="B61" s="1" t="n">
        <v>44953.56076388889</v>
      </c>
      <c r="C61" s="1" t="n">
        <v>45999</v>
      </c>
      <c r="D61" t="inlineStr">
        <is>
          <t>VÄSTMANLANDS LÄN</t>
        </is>
      </c>
      <c r="E61" t="inlineStr">
        <is>
          <t>FAGERSTA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56739-2021</t>
        </is>
      </c>
      <c r="B62" s="1" t="n">
        <v>44481</v>
      </c>
      <c r="C62" s="1" t="n">
        <v>45999</v>
      </c>
      <c r="D62" t="inlineStr">
        <is>
          <t>VÄSTMANLANDS LÄN</t>
        </is>
      </c>
      <c r="E62" t="inlineStr">
        <is>
          <t>FAGERSTA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33007-2023</t>
        </is>
      </c>
      <c r="B63" s="1" t="n">
        <v>45125</v>
      </c>
      <c r="C63" s="1" t="n">
        <v>45999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45999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50209-2024</t>
        </is>
      </c>
      <c r="B65" s="1" t="n">
        <v>45600</v>
      </c>
      <c r="C65" s="1" t="n">
        <v>45999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30630-2023</t>
        </is>
      </c>
      <c r="B66" s="1" t="n">
        <v>45112</v>
      </c>
      <c r="C66" s="1" t="n">
        <v>45999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19888-2025</t>
        </is>
      </c>
      <c r="B67" s="1" t="n">
        <v>45771.57357638889</v>
      </c>
      <c r="C67" s="1" t="n">
        <v>45999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45999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45999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58464-2024</t>
        </is>
      </c>
      <c r="B70" s="1" t="n">
        <v>45635</v>
      </c>
      <c r="C70" s="1" t="n">
        <v>45999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45999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13721-2024</t>
        </is>
      </c>
      <c r="B72" s="1" t="n">
        <v>45390</v>
      </c>
      <c r="C72" s="1" t="n">
        <v>45999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22025-2025</t>
        </is>
      </c>
      <c r="B73" s="1" t="n">
        <v>45784</v>
      </c>
      <c r="C73" s="1" t="n">
        <v>45999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13697-2025</t>
        </is>
      </c>
      <c r="B74" s="1" t="n">
        <v>45737</v>
      </c>
      <c r="C74" s="1" t="n">
        <v>45999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45999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58310-2024</t>
        </is>
      </c>
      <c r="B76" s="1" t="n">
        <v>45632</v>
      </c>
      <c r="C76" s="1" t="n">
        <v>45999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56699-2024</t>
        </is>
      </c>
      <c r="B77" s="1" t="n">
        <v>45627.7980787037</v>
      </c>
      <c r="C77" s="1" t="n">
        <v>45999</v>
      </c>
      <c r="D77" t="inlineStr">
        <is>
          <t>VÄSTMANLANDS LÄN</t>
        </is>
      </c>
      <c r="E77" t="inlineStr">
        <is>
          <t>FAGERSTA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30813-2022</t>
        </is>
      </c>
      <c r="B78" s="1" t="n">
        <v>44764.96467592593</v>
      </c>
      <c r="C78" s="1" t="n">
        <v>45999</v>
      </c>
      <c r="D78" t="inlineStr">
        <is>
          <t>VÄSTMANLANDS LÄN</t>
        </is>
      </c>
      <c r="E78" t="inlineStr">
        <is>
          <t>FAGERSTA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4486-2025</t>
        </is>
      </c>
      <c r="B79" s="1" t="n">
        <v>45686</v>
      </c>
      <c r="C79" s="1" t="n">
        <v>45999</v>
      </c>
      <c r="D79" t="inlineStr">
        <is>
          <t>VÄSTMANLANDS LÄN</t>
        </is>
      </c>
      <c r="E79" t="inlineStr">
        <is>
          <t>FAGERSTA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45999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51586-2023</t>
        </is>
      </c>
      <c r="B81" s="1" t="n">
        <v>45222.46934027778</v>
      </c>
      <c r="C81" s="1" t="n">
        <v>45999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45390-2023</t>
        </is>
      </c>
      <c r="B82" s="1" t="n">
        <v>45193.92085648148</v>
      </c>
      <c r="C82" s="1" t="n">
        <v>45999</v>
      </c>
      <c r="D82" t="inlineStr">
        <is>
          <t>VÄSTMANLANDS LÄN</t>
        </is>
      </c>
      <c r="E82" t="inlineStr">
        <is>
          <t>FAGERSTA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12121-2023</t>
        </is>
      </c>
      <c r="B83" s="1" t="n">
        <v>44998</v>
      </c>
      <c r="C83" s="1" t="n">
        <v>45999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45999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45999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45999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19213-2025</t>
        </is>
      </c>
      <c r="B87" s="1" t="n">
        <v>45769.43887731482</v>
      </c>
      <c r="C87" s="1" t="n">
        <v>45999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45999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16547-2025</t>
        </is>
      </c>
      <c r="B89" s="1" t="n">
        <v>45751.68385416667</v>
      </c>
      <c r="C89" s="1" t="n">
        <v>45999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45999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45999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45999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21679-2024</t>
        </is>
      </c>
      <c r="B93" s="1" t="n">
        <v>45442</v>
      </c>
      <c r="C93" s="1" t="n">
        <v>45999</v>
      </c>
      <c r="D93" t="inlineStr">
        <is>
          <t>VÄSTMANLANDS LÄN</t>
        </is>
      </c>
      <c r="E93" t="inlineStr">
        <is>
          <t>FAGERSTA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56704-2024</t>
        </is>
      </c>
      <c r="B94" s="1" t="n">
        <v>45627.83027777778</v>
      </c>
      <c r="C94" s="1" t="n">
        <v>45999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39015-2025</t>
        </is>
      </c>
      <c r="B95" s="1" t="n">
        <v>45888.36605324074</v>
      </c>
      <c r="C95" s="1" t="n">
        <v>45999</v>
      </c>
      <c r="D95" t="inlineStr">
        <is>
          <t>VÄSTMANLANDS LÄN</t>
        </is>
      </c>
      <c r="E95" t="inlineStr">
        <is>
          <t>FAGERSTA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30356-2024</t>
        </is>
      </c>
      <c r="B96" s="1" t="n">
        <v>45491.31465277778</v>
      </c>
      <c r="C96" s="1" t="n">
        <v>45999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45999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45999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45999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39157-2024</t>
        </is>
      </c>
      <c r="B100" s="1" t="n">
        <v>45548.63049768518</v>
      </c>
      <c r="C100" s="1" t="n">
        <v>45999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55794-2025</t>
        </is>
      </c>
      <c r="B101" s="1" t="n">
        <v>45972</v>
      </c>
      <c r="C101" s="1" t="n">
        <v>45999</v>
      </c>
      <c r="D101" t="inlineStr">
        <is>
          <t>VÄSTMANLANDS LÄN</t>
        </is>
      </c>
      <c r="E101" t="inlineStr">
        <is>
          <t>FAGERSTA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57405-2025</t>
        </is>
      </c>
      <c r="B102" s="1" t="n">
        <v>45980.44159722222</v>
      </c>
      <c r="C102" s="1" t="n">
        <v>45999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45999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26165-2025</t>
        </is>
      </c>
      <c r="B104" s="1" t="n">
        <v>45805.45321759259</v>
      </c>
      <c r="C104" s="1" t="n">
        <v>45999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26163-2025</t>
        </is>
      </c>
      <c r="B105" s="1" t="n">
        <v>45805.45002314815</v>
      </c>
      <c r="C105" s="1" t="n">
        <v>45999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26164-2025</t>
        </is>
      </c>
      <c r="B106" s="1" t="n">
        <v>45805.45237268518</v>
      </c>
      <c r="C106" s="1" t="n">
        <v>45999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26652-2025</t>
        </is>
      </c>
      <c r="B107" s="1" t="n">
        <v>45810.38774305556</v>
      </c>
      <c r="C107" s="1" t="n">
        <v>45999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22.6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50226-2025</t>
        </is>
      </c>
      <c r="B108" s="1" t="n">
        <v>45943</v>
      </c>
      <c r="C108" s="1" t="n">
        <v>45999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45999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29072-2025</t>
        </is>
      </c>
      <c r="B110" s="1" t="n">
        <v>45821.51378472222</v>
      </c>
      <c r="C110" s="1" t="n">
        <v>45999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29074-2025</t>
        </is>
      </c>
      <c r="B111" s="1" t="n">
        <v>45821.51690972222</v>
      </c>
      <c r="C111" s="1" t="n">
        <v>45999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29075-2025</t>
        </is>
      </c>
      <c r="B112" s="1" t="n">
        <v>45821.51886574074</v>
      </c>
      <c r="C112" s="1" t="n">
        <v>45999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45999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46309-2025</t>
        </is>
      </c>
      <c r="B114" s="1" t="n">
        <v>45925.43568287037</v>
      </c>
      <c r="C114" s="1" t="n">
        <v>45999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46346-2025</t>
        </is>
      </c>
      <c r="B115" s="1" t="n">
        <v>45925.47679398148</v>
      </c>
      <c r="C115" s="1" t="n">
        <v>45999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54912-2025</t>
        </is>
      </c>
      <c r="B116" s="1" t="n">
        <v>45967.38167824074</v>
      </c>
      <c r="C116" s="1" t="n">
        <v>45999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45999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46359-2025</t>
        </is>
      </c>
      <c r="B118" s="1" t="n">
        <v>45925.49538194444</v>
      </c>
      <c r="C118" s="1" t="n">
        <v>45999</v>
      </c>
      <c r="D118" t="inlineStr">
        <is>
          <t>VÄSTMANLANDS LÄN</t>
        </is>
      </c>
      <c r="E118" t="inlineStr">
        <is>
          <t>FAGERSTA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45999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51836-2025</t>
        </is>
      </c>
      <c r="B120" s="1" t="n">
        <v>45952.33346064815</v>
      </c>
      <c r="C120" s="1" t="n">
        <v>45999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45999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51782-2025</t>
        </is>
      </c>
      <c r="B122" s="1" t="n">
        <v>45951.66190972222</v>
      </c>
      <c r="C122" s="1" t="n">
        <v>45999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31776-2025</t>
        </is>
      </c>
      <c r="B123" s="1" t="n">
        <v>45834.51931712963</v>
      </c>
      <c r="C123" s="1" t="n">
        <v>45999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45999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45999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45999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45999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33238-2025</t>
        </is>
      </c>
      <c r="B128" s="1" t="n">
        <v>45840.64806712963</v>
      </c>
      <c r="C128" s="1" t="n">
        <v>45999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45999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45999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45999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45999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8264-2023</t>
        </is>
      </c>
      <c r="B133" s="1" t="n">
        <v>44974.62284722222</v>
      </c>
      <c r="C133" s="1" t="n">
        <v>45999</v>
      </c>
      <c r="D133" t="inlineStr">
        <is>
          <t>VÄSTMANLANDS LÄN</t>
        </is>
      </c>
      <c r="E133" t="inlineStr">
        <is>
          <t>FAGERSTA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45999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16544-2025</t>
        </is>
      </c>
      <c r="B135" s="1" t="n">
        <v>45751.67940972222</v>
      </c>
      <c r="C135" s="1" t="n">
        <v>45999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45999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45999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45999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11660-2023</t>
        </is>
      </c>
      <c r="B139" s="1" t="n">
        <v>44994</v>
      </c>
      <c r="C139" s="1" t="n">
        <v>45999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12125-2023</t>
        </is>
      </c>
      <c r="B140" s="1" t="n">
        <v>44998</v>
      </c>
      <c r="C140" s="1" t="n">
        <v>45999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45999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10820-2025</t>
        </is>
      </c>
      <c r="B142" s="1" t="n">
        <v>45722.55008101852</v>
      </c>
      <c r="C142" s="1" t="n">
        <v>45999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7380-2025</t>
        </is>
      </c>
      <c r="B143" s="1" t="n">
        <v>45705.32150462963</v>
      </c>
      <c r="C143" s="1" t="n">
        <v>45999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33785-2023</t>
        </is>
      </c>
      <c r="B144" s="1" t="n">
        <v>45131</v>
      </c>
      <c r="C144" s="1" t="n">
        <v>45999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26509-2022</t>
        </is>
      </c>
      <c r="B145" s="1" t="n">
        <v>44739</v>
      </c>
      <c r="C145" s="1" t="n">
        <v>45999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15812-2025</t>
        </is>
      </c>
      <c r="B146" s="1" t="n">
        <v>45748.66613425926</v>
      </c>
      <c r="C146" s="1" t="n">
        <v>45999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49311-2022</t>
        </is>
      </c>
      <c r="B147" s="1" t="n">
        <v>44861</v>
      </c>
      <c r="C147" s="1" t="n">
        <v>45999</v>
      </c>
      <c r="D147" t="inlineStr">
        <is>
          <t>VÄSTMANLANDS LÄN</t>
        </is>
      </c>
      <c r="E147" t="inlineStr">
        <is>
          <t>FAGERSTA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7385-2023</t>
        </is>
      </c>
      <c r="B148" s="1" t="n">
        <v>44971</v>
      </c>
      <c r="C148" s="1" t="n">
        <v>45999</v>
      </c>
      <c r="D148" t="inlineStr">
        <is>
          <t>VÄSTMANLANDS LÄN</t>
        </is>
      </c>
      <c r="E148" t="inlineStr">
        <is>
          <t>FAGERSTA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2025-12-08T10:26:47Z</dcterms:created>
  <dcterms:modified xmlns:dcterms="http://purl.org/dc/terms/" xmlns:xsi="http://www.w3.org/2001/XMLSchema-instance" xsi:type="dcterms:W3CDTF">2025-12-08T10:26:47Z</dcterms:modified>
</cp:coreProperties>
</file>