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45886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45886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45886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45886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45886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45886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45886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45886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29532-2022</t>
        </is>
      </c>
      <c r="B10" s="1" t="n">
        <v>44753</v>
      </c>
      <c r="C10" s="1" t="n">
        <v>45886</v>
      </c>
      <c r="D10" t="inlineStr">
        <is>
          <t>VÄSTMANLANDS LÄN</t>
        </is>
      </c>
      <c r="E10" t="inlineStr">
        <is>
          <t>FAGERSTA</t>
        </is>
      </c>
      <c r="G10" t="n">
        <v>4.7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Hagfingersvamp</t>
        </is>
      </c>
      <c r="S10">
        <f>HYPERLINK("https://klasma.github.io/Logging_1982/artfynd/A 29532-2022 artfynd.xlsx", "A 29532-2022")</f>
        <v/>
      </c>
      <c r="T10">
        <f>HYPERLINK("https://klasma.github.io/Logging_1982/kartor/A 29532-2022 karta.png", "A 29532-2022")</f>
        <v/>
      </c>
      <c r="V10">
        <f>HYPERLINK("https://klasma.github.io/Logging_1982/klagomål/A 29532-2022 FSC-klagomål.docx", "A 29532-2022")</f>
        <v/>
      </c>
      <c r="W10">
        <f>HYPERLINK("https://klasma.github.io/Logging_1982/klagomålsmail/A 29532-2022 FSC-klagomål mail.docx", "A 29532-2022")</f>
        <v/>
      </c>
      <c r="X10">
        <f>HYPERLINK("https://klasma.github.io/Logging_1982/tillsyn/A 29532-2022 tillsynsbegäran.docx", "A 29532-2022")</f>
        <v/>
      </c>
      <c r="Y10">
        <f>HYPERLINK("https://klasma.github.io/Logging_1982/tillsynsmail/A 29532-2022 tillsynsbegäran mail.docx", "A 29532-2022")</f>
        <v/>
      </c>
    </row>
    <row r="11" ht="15" customHeight="1">
      <c r="A11" t="inlineStr">
        <is>
          <t>A 28794-2023</t>
        </is>
      </c>
      <c r="B11" s="1" t="n">
        <v>45104</v>
      </c>
      <c r="C11" s="1" t="n">
        <v>45886</v>
      </c>
      <c r="D11" t="inlineStr">
        <is>
          <t>VÄSTMANLANDS LÄN</t>
        </is>
      </c>
      <c r="E11" t="inlineStr">
        <is>
          <t>FAGERSTA</t>
        </is>
      </c>
      <c r="G11" t="n">
        <v>12.2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HYPERLINK("https://klasma.github.io/Logging_1982/artfynd/A 28794-2023 artfynd.xlsx", "A 28794-2023")</f>
        <v/>
      </c>
      <c r="T11">
        <f>HYPERLINK("https://klasma.github.io/Logging_1982/kartor/A 28794-2023 karta.png", "A 28794-2023")</f>
        <v/>
      </c>
      <c r="V11">
        <f>HYPERLINK("https://klasma.github.io/Logging_1982/klagomål/A 28794-2023 FSC-klagomål.docx", "A 28794-2023")</f>
        <v/>
      </c>
      <c r="W11">
        <f>HYPERLINK("https://klasma.github.io/Logging_1982/klagomålsmail/A 28794-2023 FSC-klagomål mail.docx", "A 28794-2023")</f>
        <v/>
      </c>
      <c r="X11">
        <f>HYPERLINK("https://klasma.github.io/Logging_1982/tillsyn/A 28794-2023 tillsynsbegäran.docx", "A 28794-2023")</f>
        <v/>
      </c>
      <c r="Y11">
        <f>HYPERLINK("https://klasma.github.io/Logging_1982/tillsynsmail/A 28794-2023 tillsynsbegäran mail.docx", "A 28794-2023")</f>
        <v/>
      </c>
      <c r="Z11">
        <f>HYPERLINK("https://klasma.github.io/Logging_1982/fåglar/A 28794-2023 prioriterade fågelarter.docx", "A 28794-2023")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45886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58307-2024</t>
        </is>
      </c>
      <c r="B13" s="1" t="n">
        <v>45632</v>
      </c>
      <c r="C13" s="1" t="n">
        <v>45886</v>
      </c>
      <c r="D13" t="inlineStr">
        <is>
          <t>VÄSTMANLANDS LÄN</t>
        </is>
      </c>
      <c r="E13" t="inlineStr">
        <is>
          <t>FAGERSTA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Mindre märgborre</t>
        </is>
      </c>
      <c r="S13">
        <f>HYPERLINK("https://klasma.github.io/Logging_1982/artfynd/A 58307-2024 artfynd.xlsx", "A 58307-2024")</f>
        <v/>
      </c>
      <c r="T13">
        <f>HYPERLINK("https://klasma.github.io/Logging_1982/kartor/A 58307-2024 karta.png", "A 58307-2024")</f>
        <v/>
      </c>
      <c r="V13">
        <f>HYPERLINK("https://klasma.github.io/Logging_1982/klagomål/A 58307-2024 FSC-klagomål.docx", "A 58307-2024")</f>
        <v/>
      </c>
      <c r="W13">
        <f>HYPERLINK("https://klasma.github.io/Logging_1982/klagomålsmail/A 58307-2024 FSC-klagomål mail.docx", "A 58307-2024")</f>
        <v/>
      </c>
      <c r="X13">
        <f>HYPERLINK("https://klasma.github.io/Logging_1982/tillsyn/A 58307-2024 tillsynsbegäran.docx", "A 58307-2024")</f>
        <v/>
      </c>
      <c r="Y13">
        <f>HYPERLINK("https://klasma.github.io/Logging_1982/tillsynsmail/A 58307-2024 tillsynsbegäran mail.docx", "A 58307-2024")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45886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45886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45886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45886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40170-2020</t>
        </is>
      </c>
      <c r="B18" s="1" t="n">
        <v>44068</v>
      </c>
      <c r="C18" s="1" t="n">
        <v>45886</v>
      </c>
      <c r="D18" t="inlineStr">
        <is>
          <t>VÄSTMANLANDS LÄN</t>
        </is>
      </c>
      <c r="E18" t="inlineStr">
        <is>
          <t>FAGERSTA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74421-2021</t>
        </is>
      </c>
      <c r="B19" s="1" t="n">
        <v>44533</v>
      </c>
      <c r="C19" s="1" t="n">
        <v>45886</v>
      </c>
      <c r="D19" t="inlineStr">
        <is>
          <t>VÄSTMANLANDS LÄN</t>
        </is>
      </c>
      <c r="E19" t="inlineStr">
        <is>
          <t>FAGERSTA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29197-2021</t>
        </is>
      </c>
      <c r="B20" s="1" t="n">
        <v>44359.34857638889</v>
      </c>
      <c r="C20" s="1" t="n">
        <v>45886</v>
      </c>
      <c r="D20" t="inlineStr">
        <is>
          <t>VÄSTMANLANDS LÄN</t>
        </is>
      </c>
      <c r="E20" t="inlineStr">
        <is>
          <t>FAGERSTA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70012-2021</t>
        </is>
      </c>
      <c r="B21" s="1" t="n">
        <v>44533</v>
      </c>
      <c r="C21" s="1" t="n">
        <v>45886</v>
      </c>
      <c r="D21" t="inlineStr">
        <is>
          <t>VÄSTMANLANDS LÄN</t>
        </is>
      </c>
      <c r="E21" t="inlineStr">
        <is>
          <t>FAGERSTA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3682-2022</t>
        </is>
      </c>
      <c r="B22" s="1" t="n">
        <v>44586</v>
      </c>
      <c r="C22" s="1" t="n">
        <v>45886</v>
      </c>
      <c r="D22" t="inlineStr">
        <is>
          <t>VÄSTMANLANDS LÄN</t>
        </is>
      </c>
      <c r="E22" t="inlineStr">
        <is>
          <t>FAGERSTA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56733-2021</t>
        </is>
      </c>
      <c r="B23" s="1" t="n">
        <v>44481</v>
      </c>
      <c r="C23" s="1" t="n">
        <v>45886</v>
      </c>
      <c r="D23" t="inlineStr">
        <is>
          <t>VÄSTMANLANDS LÄN</t>
        </is>
      </c>
      <c r="E23" t="inlineStr">
        <is>
          <t>FAGERSTA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74356-2021</t>
        </is>
      </c>
      <c r="B24" s="1" t="n">
        <v>44559.58675925926</v>
      </c>
      <c r="C24" s="1" t="n">
        <v>45886</v>
      </c>
      <c r="D24" t="inlineStr">
        <is>
          <t>VÄSTMANLANDS LÄN</t>
        </is>
      </c>
      <c r="E24" t="inlineStr">
        <is>
          <t>FAGERSTA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37602-2021</t>
        </is>
      </c>
      <c r="B25" s="1" t="n">
        <v>44399</v>
      </c>
      <c r="C25" s="1" t="n">
        <v>45886</v>
      </c>
      <c r="D25" t="inlineStr">
        <is>
          <t>VÄSTMANLANDS LÄN</t>
        </is>
      </c>
      <c r="E25" t="inlineStr">
        <is>
          <t>FAGERSTA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45886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45886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48286-2020</t>
        </is>
      </c>
      <c r="B28" s="1" t="n">
        <v>44097</v>
      </c>
      <c r="C28" s="1" t="n">
        <v>45886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31831-2022</t>
        </is>
      </c>
      <c r="B29" s="1" t="n">
        <v>44776</v>
      </c>
      <c r="C29" s="1" t="n">
        <v>45886</v>
      </c>
      <c r="D29" t="inlineStr">
        <is>
          <t>VÄSTMANLANDS LÄN</t>
        </is>
      </c>
      <c r="E29" t="inlineStr">
        <is>
          <t>FAGERSTA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40182-2020</t>
        </is>
      </c>
      <c r="B30" s="1" t="n">
        <v>44068</v>
      </c>
      <c r="C30" s="1" t="n">
        <v>45886</v>
      </c>
      <c r="D30" t="inlineStr">
        <is>
          <t>VÄSTMANLANDS LÄN</t>
        </is>
      </c>
      <c r="E30" t="inlineStr">
        <is>
          <t>FAGERSTA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30868-2022</t>
        </is>
      </c>
      <c r="B31" s="1" t="n">
        <v>44767</v>
      </c>
      <c r="C31" s="1" t="n">
        <v>45886</v>
      </c>
      <c r="D31" t="inlineStr">
        <is>
          <t>VÄSTMANLANDS LÄN</t>
        </is>
      </c>
      <c r="E31" t="inlineStr">
        <is>
          <t>FAGERSTA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35905-2021</t>
        </is>
      </c>
      <c r="B32" s="1" t="n">
        <v>44387.65922453703</v>
      </c>
      <c r="C32" s="1" t="n">
        <v>45886</v>
      </c>
      <c r="D32" t="inlineStr">
        <is>
          <t>VÄSTMANLANDS LÄN</t>
        </is>
      </c>
      <c r="E32" t="inlineStr">
        <is>
          <t>FAGERSTA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74425-2021</t>
        </is>
      </c>
      <c r="B33" s="1" t="n">
        <v>44564</v>
      </c>
      <c r="C33" s="1" t="n">
        <v>45886</v>
      </c>
      <c r="D33" t="inlineStr">
        <is>
          <t>VÄSTMANLANDS LÄN</t>
        </is>
      </c>
      <c r="E33" t="inlineStr">
        <is>
          <t>FAGERSTA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62470-2021</t>
        </is>
      </c>
      <c r="B34" s="1" t="n">
        <v>44503</v>
      </c>
      <c r="C34" s="1" t="n">
        <v>45886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25053-2022</t>
        </is>
      </c>
      <c r="B35" s="1" t="n">
        <v>44729</v>
      </c>
      <c r="C35" s="1" t="n">
        <v>45886</v>
      </c>
      <c r="D35" t="inlineStr">
        <is>
          <t>VÄSTMANLANDS LÄN</t>
        </is>
      </c>
      <c r="E35" t="inlineStr">
        <is>
          <t>FAGERSTA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25057-2022</t>
        </is>
      </c>
      <c r="B36" s="1" t="n">
        <v>44729.31541666666</v>
      </c>
      <c r="C36" s="1" t="n">
        <v>45886</v>
      </c>
      <c r="D36" t="inlineStr">
        <is>
          <t>VÄSTMANLANDS LÄN</t>
        </is>
      </c>
      <c r="E36" t="inlineStr">
        <is>
          <t>FAGERSTA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69104-2021</t>
        </is>
      </c>
      <c r="B37" s="1" t="n">
        <v>44530</v>
      </c>
      <c r="C37" s="1" t="n">
        <v>45886</v>
      </c>
      <c r="D37" t="inlineStr">
        <is>
          <t>VÄSTMANLANDS LÄN</t>
        </is>
      </c>
      <c r="E37" t="inlineStr">
        <is>
          <t>FAGERSTA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68174-2021</t>
        </is>
      </c>
      <c r="B38" s="1" t="n">
        <v>44526</v>
      </c>
      <c r="C38" s="1" t="n">
        <v>45886</v>
      </c>
      <c r="D38" t="inlineStr">
        <is>
          <t>VÄSTMANLANDS LÄN</t>
        </is>
      </c>
      <c r="E38" t="inlineStr">
        <is>
          <t>FAGERSTA</t>
        </is>
      </c>
      <c r="F38" t="inlineStr">
        <is>
          <t>Kyrkan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44710-2022</t>
        </is>
      </c>
      <c r="B39" s="1" t="n">
        <v>44840</v>
      </c>
      <c r="C39" s="1" t="n">
        <v>45886</v>
      </c>
      <c r="D39" t="inlineStr">
        <is>
          <t>VÄSTMANLANDS LÄN</t>
        </is>
      </c>
      <c r="E39" t="inlineStr">
        <is>
          <t>FAGERSTA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29510-2022</t>
        </is>
      </c>
      <c r="B40" s="1" t="n">
        <v>44753</v>
      </c>
      <c r="C40" s="1" t="n">
        <v>45886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29513-2022</t>
        </is>
      </c>
      <c r="B41" s="1" t="n">
        <v>44753</v>
      </c>
      <c r="C41" s="1" t="n">
        <v>45886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45886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38128-2021</t>
        </is>
      </c>
      <c r="B43" s="1" t="n">
        <v>44405.37</v>
      </c>
      <c r="C43" s="1" t="n">
        <v>45886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  <c r="U43">
        <f>HYPERLINK("https://klasma.github.io/Logging_1982/knärot/A 38128-2021 karta knärot.png", "A 38128-2021")</f>
        <v/>
      </c>
      <c r="V43">
        <f>HYPERLINK("https://klasma.github.io/Logging_1982/klagomål/A 38128-2021 FSC-klagomål.docx", "A 38128-2021")</f>
        <v/>
      </c>
      <c r="W43">
        <f>HYPERLINK("https://klasma.github.io/Logging_1982/klagomålsmail/A 38128-2021 FSC-klagomål mail.docx", "A 38128-2021")</f>
        <v/>
      </c>
      <c r="X43">
        <f>HYPERLINK("https://klasma.github.io/Logging_1982/tillsyn/A 38128-2021 tillsynsbegäran.docx", "A 38128-2021")</f>
        <v/>
      </c>
      <c r="Y43">
        <f>HYPERLINK("https://klasma.github.io/Logging_1982/tillsynsmail/A 38128-2021 tillsynsbegäran mail.docx", "A 38128-2021")</f>
        <v/>
      </c>
    </row>
    <row r="44" ht="15" customHeight="1">
      <c r="A44" t="inlineStr">
        <is>
          <t>A 51936-2022</t>
        </is>
      </c>
      <c r="B44" s="1" t="n">
        <v>44872</v>
      </c>
      <c r="C44" s="1" t="n">
        <v>45886</v>
      </c>
      <c r="D44" t="inlineStr">
        <is>
          <t>VÄSTMANLANDS LÄN</t>
        </is>
      </c>
      <c r="E44" t="inlineStr">
        <is>
          <t>FAGERSTA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47754-2020</t>
        </is>
      </c>
      <c r="B45" s="1" t="n">
        <v>44098</v>
      </c>
      <c r="C45" s="1" t="n">
        <v>45886</v>
      </c>
      <c r="D45" t="inlineStr">
        <is>
          <t>VÄSTMANLANDS LÄN</t>
        </is>
      </c>
      <c r="E45" t="inlineStr">
        <is>
          <t>FAGERSTA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41931-2020</t>
        </is>
      </c>
      <c r="B46" s="1" t="n">
        <v>44075</v>
      </c>
      <c r="C46" s="1" t="n">
        <v>45886</v>
      </c>
      <c r="D46" t="inlineStr">
        <is>
          <t>VÄSTMANLANDS LÄN</t>
        </is>
      </c>
      <c r="E46" t="inlineStr">
        <is>
          <t>FAGERSTA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32249-2022</t>
        </is>
      </c>
      <c r="B47" s="1" t="n">
        <v>44781</v>
      </c>
      <c r="C47" s="1" t="n">
        <v>45886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22.9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19153-2025</t>
        </is>
      </c>
      <c r="B48" s="1" t="n">
        <v>45769</v>
      </c>
      <c r="C48" s="1" t="n">
        <v>45886</v>
      </c>
      <c r="D48" t="inlineStr">
        <is>
          <t>VÄSTMANLANDS LÄN</t>
        </is>
      </c>
      <c r="E48" t="inlineStr">
        <is>
          <t>FAGERSTA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22025-2025</t>
        </is>
      </c>
      <c r="B49" s="1" t="n">
        <v>45784</v>
      </c>
      <c r="C49" s="1" t="n">
        <v>45886</v>
      </c>
      <c r="D49" t="inlineStr">
        <is>
          <t>VÄSTMANLANDS LÄN</t>
        </is>
      </c>
      <c r="E49" t="inlineStr">
        <is>
          <t>FAGERSTA</t>
        </is>
      </c>
      <c r="F49" t="inlineStr">
        <is>
          <t>Kommuner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58310-2024</t>
        </is>
      </c>
      <c r="B50" s="1" t="n">
        <v>45632</v>
      </c>
      <c r="C50" s="1" t="n">
        <v>45886</v>
      </c>
      <c r="D50" t="inlineStr">
        <is>
          <t>VÄSTMANLANDS LÄN</t>
        </is>
      </c>
      <c r="E50" t="inlineStr">
        <is>
          <t>FAGERSTA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30813-2022</t>
        </is>
      </c>
      <c r="B51" s="1" t="n">
        <v>44764.96467592593</v>
      </c>
      <c r="C51" s="1" t="n">
        <v>45886</v>
      </c>
      <c r="D51" t="inlineStr">
        <is>
          <t>VÄSTMANLANDS LÄN</t>
        </is>
      </c>
      <c r="E51" t="inlineStr">
        <is>
          <t>FAGERSTA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12121-2023</t>
        </is>
      </c>
      <c r="B52" s="1" t="n">
        <v>44998</v>
      </c>
      <c r="C52" s="1" t="n">
        <v>45886</v>
      </c>
      <c r="D52" t="inlineStr">
        <is>
          <t>VÄSTMANLANDS LÄN</t>
        </is>
      </c>
      <c r="E52" t="inlineStr">
        <is>
          <t>FAGERSTA</t>
        </is>
      </c>
      <c r="F52" t="inlineStr">
        <is>
          <t>Övriga Aktiebolag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22118-2025</t>
        </is>
      </c>
      <c r="B53" s="1" t="n">
        <v>45785.51457175926</v>
      </c>
      <c r="C53" s="1" t="n">
        <v>45886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18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22117-2025</t>
        </is>
      </c>
      <c r="B54" s="1" t="n">
        <v>45785.51381944444</v>
      </c>
      <c r="C54" s="1" t="n">
        <v>45886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22590-2025</t>
        </is>
      </c>
      <c r="B55" s="1" t="n">
        <v>45789</v>
      </c>
      <c r="C55" s="1" t="n">
        <v>45886</v>
      </c>
      <c r="D55" t="inlineStr">
        <is>
          <t>VÄSTMANLANDS LÄN</t>
        </is>
      </c>
      <c r="E55" t="inlineStr">
        <is>
          <t>FAGERSTA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56739-2021</t>
        </is>
      </c>
      <c r="B56" s="1" t="n">
        <v>44481</v>
      </c>
      <c r="C56" s="1" t="n">
        <v>45886</v>
      </c>
      <c r="D56" t="inlineStr">
        <is>
          <t>VÄSTMANLANDS LÄN</t>
        </is>
      </c>
      <c r="E56" t="inlineStr">
        <is>
          <t>FAGERSTA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56704-2024</t>
        </is>
      </c>
      <c r="B57" s="1" t="n">
        <v>45627.83027777778</v>
      </c>
      <c r="C57" s="1" t="n">
        <v>45886</v>
      </c>
      <c r="D57" t="inlineStr">
        <is>
          <t>VÄSTMANLANDS LÄN</t>
        </is>
      </c>
      <c r="E57" t="inlineStr">
        <is>
          <t>FAGERSTA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58594-2024</t>
        </is>
      </c>
      <c r="B58" s="1" t="n">
        <v>45635</v>
      </c>
      <c r="C58" s="1" t="n">
        <v>45886</v>
      </c>
      <c r="D58" t="inlineStr">
        <is>
          <t>VÄSTMANLANDS LÄN</t>
        </is>
      </c>
      <c r="E58" t="inlineStr">
        <is>
          <t>FAGERSTA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33007-2023</t>
        </is>
      </c>
      <c r="B59" s="1" t="n">
        <v>45125</v>
      </c>
      <c r="C59" s="1" t="n">
        <v>45886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56694-2024</t>
        </is>
      </c>
      <c r="B60" s="1" t="n">
        <v>45627.75526620371</v>
      </c>
      <c r="C60" s="1" t="n">
        <v>45886</v>
      </c>
      <c r="D60" t="inlineStr">
        <is>
          <t>VÄSTMANLANDS LÄN</t>
        </is>
      </c>
      <c r="E60" t="inlineStr">
        <is>
          <t>FAGERSTA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19888-2025</t>
        </is>
      </c>
      <c r="B61" s="1" t="n">
        <v>45771.57357638889</v>
      </c>
      <c r="C61" s="1" t="n">
        <v>45886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39157-2024</t>
        </is>
      </c>
      <c r="B62" s="1" t="n">
        <v>45548.63049768518</v>
      </c>
      <c r="C62" s="1" t="n">
        <v>45886</v>
      </c>
      <c r="D62" t="inlineStr">
        <is>
          <t>VÄSTMANLANDS LÄN</t>
        </is>
      </c>
      <c r="E62" t="inlineStr">
        <is>
          <t>FAGERSTA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37955-2023</t>
        </is>
      </c>
      <c r="B63" s="1" t="n">
        <v>45160</v>
      </c>
      <c r="C63" s="1" t="n">
        <v>45886</v>
      </c>
      <c r="D63" t="inlineStr">
        <is>
          <t>VÄSTMANLANDS LÄN</t>
        </is>
      </c>
      <c r="E63" t="inlineStr">
        <is>
          <t>FAGERSTA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58464-2024</t>
        </is>
      </c>
      <c r="B64" s="1" t="n">
        <v>45635</v>
      </c>
      <c r="C64" s="1" t="n">
        <v>45886</v>
      </c>
      <c r="D64" t="inlineStr">
        <is>
          <t>VÄSTMANLANDS LÄN</t>
        </is>
      </c>
      <c r="E64" t="inlineStr">
        <is>
          <t>FAGERSTA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19156-2025</t>
        </is>
      </c>
      <c r="B65" s="1" t="n">
        <v>45769</v>
      </c>
      <c r="C65" s="1" t="n">
        <v>45886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40185-2020</t>
        </is>
      </c>
      <c r="B66" s="1" t="n">
        <v>44068</v>
      </c>
      <c r="C66" s="1" t="n">
        <v>45886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34374-2025</t>
        </is>
      </c>
      <c r="B67" s="1" t="n">
        <v>45846.52753472222</v>
      </c>
      <c r="C67" s="1" t="n">
        <v>45886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25972-2025</t>
        </is>
      </c>
      <c r="B68" s="1" t="n">
        <v>45804.6315625</v>
      </c>
      <c r="C68" s="1" t="n">
        <v>45886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26165-2025</t>
        </is>
      </c>
      <c r="B69" s="1" t="n">
        <v>45805.45321759259</v>
      </c>
      <c r="C69" s="1" t="n">
        <v>45886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13697-2025</t>
        </is>
      </c>
      <c r="B70" s="1" t="n">
        <v>45737</v>
      </c>
      <c r="C70" s="1" t="n">
        <v>45886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20909-2024</t>
        </is>
      </c>
      <c r="B71" s="1" t="n">
        <v>45439</v>
      </c>
      <c r="C71" s="1" t="n">
        <v>45886</v>
      </c>
      <c r="D71" t="inlineStr">
        <is>
          <t>VÄSTMANLANDS LÄN</t>
        </is>
      </c>
      <c r="E71" t="inlineStr">
        <is>
          <t>FAGERSTA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26163-2025</t>
        </is>
      </c>
      <c r="B72" s="1" t="n">
        <v>45805.45002314815</v>
      </c>
      <c r="C72" s="1" t="n">
        <v>45886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26164-2025</t>
        </is>
      </c>
      <c r="B73" s="1" t="n">
        <v>45805.45237268518</v>
      </c>
      <c r="C73" s="1" t="n">
        <v>45886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26652-2025</t>
        </is>
      </c>
      <c r="B74" s="1" t="n">
        <v>45810.38774305556</v>
      </c>
      <c r="C74" s="1" t="n">
        <v>45886</v>
      </c>
      <c r="D74" t="inlineStr">
        <is>
          <t>VÄSTMANLANDS LÄN</t>
        </is>
      </c>
      <c r="E74" t="inlineStr">
        <is>
          <t>FAGERSTA</t>
        </is>
      </c>
      <c r="F74" t="inlineStr">
        <is>
          <t>Bergvik skog väst AB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15297-2023</t>
        </is>
      </c>
      <c r="B75" s="1" t="n">
        <v>45019</v>
      </c>
      <c r="C75" s="1" t="n">
        <v>45886</v>
      </c>
      <c r="D75" t="inlineStr">
        <is>
          <t>VÄSTMANLANDS LÄN</t>
        </is>
      </c>
      <c r="E75" t="inlineStr">
        <is>
          <t>FAGERSTA</t>
        </is>
      </c>
      <c r="F75" t="inlineStr">
        <is>
          <t>Övriga Aktiebolag</t>
        </is>
      </c>
      <c r="G75" t="n">
        <v>26.3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57855-2023</t>
        </is>
      </c>
      <c r="B76" s="1" t="n">
        <v>45247.43503472222</v>
      </c>
      <c r="C76" s="1" t="n">
        <v>45886</v>
      </c>
      <c r="D76" t="inlineStr">
        <is>
          <t>VÄSTMANLANDS LÄN</t>
        </is>
      </c>
      <c r="E76" t="inlineStr">
        <is>
          <t>FAGERSTA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28207-2024</t>
        </is>
      </c>
      <c r="B77" s="1" t="n">
        <v>45477</v>
      </c>
      <c r="C77" s="1" t="n">
        <v>45886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62095-2022</t>
        </is>
      </c>
      <c r="B78" s="1" t="n">
        <v>44919</v>
      </c>
      <c r="C78" s="1" t="n">
        <v>45886</v>
      </c>
      <c r="D78" t="inlineStr">
        <is>
          <t>VÄSTMANLANDS LÄN</t>
        </is>
      </c>
      <c r="E78" t="inlineStr">
        <is>
          <t>FAGERSTA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48261-2022</t>
        </is>
      </c>
      <c r="B79" s="1" t="n">
        <v>44858</v>
      </c>
      <c r="C79" s="1" t="n">
        <v>45886</v>
      </c>
      <c r="D79" t="inlineStr">
        <is>
          <t>VÄSTMANLANDS LÄN</t>
        </is>
      </c>
      <c r="E79" t="inlineStr">
        <is>
          <t>FAGERSTA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33357-2023</t>
        </is>
      </c>
      <c r="B80" s="1" t="n">
        <v>45128.4874537037</v>
      </c>
      <c r="C80" s="1" t="n">
        <v>45886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45390-2023</t>
        </is>
      </c>
      <c r="B81" s="1" t="n">
        <v>45193.92085648148</v>
      </c>
      <c r="C81" s="1" t="n">
        <v>45886</v>
      </c>
      <c r="D81" t="inlineStr">
        <is>
          <t>VÄSTMANLANDS LÄN</t>
        </is>
      </c>
      <c r="E81" t="inlineStr">
        <is>
          <t>FAGERSTA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42844-2024</t>
        </is>
      </c>
      <c r="B82" s="1" t="n">
        <v>45566.62930555556</v>
      </c>
      <c r="C82" s="1" t="n">
        <v>45886</v>
      </c>
      <c r="D82" t="inlineStr">
        <is>
          <t>VÄSTMANLANDS LÄN</t>
        </is>
      </c>
      <c r="E82" t="inlineStr">
        <is>
          <t>FAGERSTA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28425-2025</t>
        </is>
      </c>
      <c r="B83" s="1" t="n">
        <v>45819.37296296296</v>
      </c>
      <c r="C83" s="1" t="n">
        <v>45886</v>
      </c>
      <c r="D83" t="inlineStr">
        <is>
          <t>VÄSTMANLANDS LÄN</t>
        </is>
      </c>
      <c r="E83" t="inlineStr">
        <is>
          <t>FAGERSTA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29072-2025</t>
        </is>
      </c>
      <c r="B84" s="1" t="n">
        <v>45821.51378472222</v>
      </c>
      <c r="C84" s="1" t="n">
        <v>45886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29074-2025</t>
        </is>
      </c>
      <c r="B85" s="1" t="n">
        <v>45821.51690972222</v>
      </c>
      <c r="C85" s="1" t="n">
        <v>45886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29075-2025</t>
        </is>
      </c>
      <c r="B86" s="1" t="n">
        <v>45821.51886574074</v>
      </c>
      <c r="C86" s="1" t="n">
        <v>45886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29073-2025</t>
        </is>
      </c>
      <c r="B87" s="1" t="n">
        <v>45821.51579861111</v>
      </c>
      <c r="C87" s="1" t="n">
        <v>45886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29348-2025</t>
        </is>
      </c>
      <c r="B88" s="1" t="n">
        <v>45824.51702546296</v>
      </c>
      <c r="C88" s="1" t="n">
        <v>45886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21679-2024</t>
        </is>
      </c>
      <c r="B89" s="1" t="n">
        <v>45442</v>
      </c>
      <c r="C89" s="1" t="n">
        <v>45886</v>
      </c>
      <c r="D89" t="inlineStr">
        <is>
          <t>VÄSTMANLANDS LÄN</t>
        </is>
      </c>
      <c r="E89" t="inlineStr">
        <is>
          <t>FAGERSTA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29725-2025</t>
        </is>
      </c>
      <c r="B90" s="1" t="n">
        <v>45825.57805555555</v>
      </c>
      <c r="C90" s="1" t="n">
        <v>45886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11583-2025</t>
        </is>
      </c>
      <c r="B91" s="1" t="n">
        <v>45727</v>
      </c>
      <c r="C91" s="1" t="n">
        <v>45886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12913-2025</t>
        </is>
      </c>
      <c r="B92" s="1" t="n">
        <v>45733.83596064815</v>
      </c>
      <c r="C92" s="1" t="n">
        <v>45886</v>
      </c>
      <c r="D92" t="inlineStr">
        <is>
          <t>VÄSTMANLANDS LÄN</t>
        </is>
      </c>
      <c r="E92" t="inlineStr">
        <is>
          <t>FAGERSTA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30356-2024</t>
        </is>
      </c>
      <c r="B93" s="1" t="n">
        <v>45491.31465277778</v>
      </c>
      <c r="C93" s="1" t="n">
        <v>45886</v>
      </c>
      <c r="D93" t="inlineStr">
        <is>
          <t>VÄSTMANLANDS LÄN</t>
        </is>
      </c>
      <c r="E93" t="inlineStr">
        <is>
          <t>FAGERSTA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65829-2020</t>
        </is>
      </c>
      <c r="B94" s="1" t="n">
        <v>44172</v>
      </c>
      <c r="C94" s="1" t="n">
        <v>45886</v>
      </c>
      <c r="D94" t="inlineStr">
        <is>
          <t>VÄSTMANLANDS LÄN</t>
        </is>
      </c>
      <c r="E94" t="inlineStr">
        <is>
          <t>FAGERSTA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64310-2020</t>
        </is>
      </c>
      <c r="B95" s="1" t="n">
        <v>44168</v>
      </c>
      <c r="C95" s="1" t="n">
        <v>45886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31775-2025</t>
        </is>
      </c>
      <c r="B96" s="1" t="n">
        <v>45834.51887731482</v>
      </c>
      <c r="C96" s="1" t="n">
        <v>45886</v>
      </c>
      <c r="D96" t="inlineStr">
        <is>
          <t>VÄSTMANLANDS LÄN</t>
        </is>
      </c>
      <c r="E96" t="inlineStr">
        <is>
          <t>FAGERSTA</t>
        </is>
      </c>
      <c r="F96" t="inlineStr">
        <is>
          <t>Sveaskog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31776-2025</t>
        </is>
      </c>
      <c r="B97" s="1" t="n">
        <v>45834.51931712963</v>
      </c>
      <c r="C97" s="1" t="n">
        <v>45886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31768-2025</t>
        </is>
      </c>
      <c r="B98" s="1" t="n">
        <v>45834.50034722222</v>
      </c>
      <c r="C98" s="1" t="n">
        <v>45886</v>
      </c>
      <c r="D98" t="inlineStr">
        <is>
          <t>VÄSTMANLANDS LÄN</t>
        </is>
      </c>
      <c r="E98" t="inlineStr">
        <is>
          <t>FAGERSTA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13495-2025</t>
        </is>
      </c>
      <c r="B99" s="1" t="n">
        <v>45736.44006944444</v>
      </c>
      <c r="C99" s="1" t="n">
        <v>45886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32004-2025</t>
        </is>
      </c>
      <c r="B100" s="1" t="n">
        <v>45835</v>
      </c>
      <c r="C100" s="1" t="n">
        <v>45886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32001-2025</t>
        </is>
      </c>
      <c r="B101" s="1" t="n">
        <v>45835.37936342593</v>
      </c>
      <c r="C101" s="1" t="n">
        <v>45886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56698-2024</t>
        </is>
      </c>
      <c r="B102" s="1" t="n">
        <v>45627.79015046296</v>
      </c>
      <c r="C102" s="1" t="n">
        <v>45886</v>
      </c>
      <c r="D102" t="inlineStr">
        <is>
          <t>VÄSTMANLANDS LÄN</t>
        </is>
      </c>
      <c r="E102" t="inlineStr">
        <is>
          <t>FAGERSTA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8264-2023</t>
        </is>
      </c>
      <c r="B103" s="1" t="n">
        <v>44974.62284722222</v>
      </c>
      <c r="C103" s="1" t="n">
        <v>45886</v>
      </c>
      <c r="D103" t="inlineStr">
        <is>
          <t>VÄSTMANLANDS LÄN</t>
        </is>
      </c>
      <c r="E103" t="inlineStr">
        <is>
          <t>FAGERSTA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33238-2025</t>
        </is>
      </c>
      <c r="B104" s="1" t="n">
        <v>45840.64806712963</v>
      </c>
      <c r="C104" s="1" t="n">
        <v>45886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33232-2025</t>
        </is>
      </c>
      <c r="B105" s="1" t="n">
        <v>45840</v>
      </c>
      <c r="C105" s="1" t="n">
        <v>45886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63480-2023</t>
        </is>
      </c>
      <c r="B106" s="1" t="n">
        <v>45274</v>
      </c>
      <c r="C106" s="1" t="n">
        <v>45886</v>
      </c>
      <c r="D106" t="inlineStr">
        <is>
          <t>VÄSTMANLANDS LÄN</t>
        </is>
      </c>
      <c r="E106" t="inlineStr">
        <is>
          <t>FAGERSTA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33236-2025</t>
        </is>
      </c>
      <c r="B107" s="1" t="n">
        <v>45840.64615740741</v>
      </c>
      <c r="C107" s="1" t="n">
        <v>45886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32805-2025</t>
        </is>
      </c>
      <c r="B108" s="1" t="n">
        <v>45839</v>
      </c>
      <c r="C108" s="1" t="n">
        <v>45886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30503-2021</t>
        </is>
      </c>
      <c r="B109" s="1" t="n">
        <v>44364</v>
      </c>
      <c r="C109" s="1" t="n">
        <v>45886</v>
      </c>
      <c r="D109" t="inlineStr">
        <is>
          <t>VÄSTMANLANDS LÄN</t>
        </is>
      </c>
      <c r="E109" t="inlineStr">
        <is>
          <t>FAGERSTA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16544-2025</t>
        </is>
      </c>
      <c r="B110" s="1" t="n">
        <v>45751.67940972222</v>
      </c>
      <c r="C110" s="1" t="n">
        <v>45886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22482-2023</t>
        </is>
      </c>
      <c r="B111" s="1" t="n">
        <v>45071</v>
      </c>
      <c r="C111" s="1" t="n">
        <v>45886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22485-2023</t>
        </is>
      </c>
      <c r="B112" s="1" t="n">
        <v>45071</v>
      </c>
      <c r="C112" s="1" t="n">
        <v>45886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33865-2025</t>
        </is>
      </c>
      <c r="B113" s="1" t="n">
        <v>45842.533125</v>
      </c>
      <c r="C113" s="1" t="n">
        <v>45886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62686-2020</t>
        </is>
      </c>
      <c r="B114" s="1" t="n">
        <v>44161</v>
      </c>
      <c r="C114" s="1" t="n">
        <v>45886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10851-2023</t>
        </is>
      </c>
      <c r="B115" s="1" t="n">
        <v>44991</v>
      </c>
      <c r="C115" s="1" t="n">
        <v>45886</v>
      </c>
      <c r="D115" t="inlineStr">
        <is>
          <t>VÄSTMANLANDS LÄN</t>
        </is>
      </c>
      <c r="E115" t="inlineStr">
        <is>
          <t>FAGERSTA</t>
        </is>
      </c>
      <c r="F115" t="inlineStr">
        <is>
          <t>Övriga Aktiebolag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4264-2023</t>
        </is>
      </c>
      <c r="B116" s="1" t="n">
        <v>44953.56076388889</v>
      </c>
      <c r="C116" s="1" t="n">
        <v>45886</v>
      </c>
      <c r="D116" t="inlineStr">
        <is>
          <t>VÄSTMANLANDS LÄN</t>
        </is>
      </c>
      <c r="E116" t="inlineStr">
        <is>
          <t>FAGERSTA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11660-2023</t>
        </is>
      </c>
      <c r="B117" s="1" t="n">
        <v>44994</v>
      </c>
      <c r="C117" s="1" t="n">
        <v>45886</v>
      </c>
      <c r="D117" t="inlineStr">
        <is>
          <t>VÄSTMANLANDS LÄN</t>
        </is>
      </c>
      <c r="E117" t="inlineStr">
        <is>
          <t>FAGERSTA</t>
        </is>
      </c>
      <c r="F117" t="inlineStr">
        <is>
          <t>Kommuner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12125-2023</t>
        </is>
      </c>
      <c r="B118" s="1" t="n">
        <v>44998</v>
      </c>
      <c r="C118" s="1" t="n">
        <v>45886</v>
      </c>
      <c r="D118" t="inlineStr">
        <is>
          <t>VÄSTMANLANDS LÄN</t>
        </is>
      </c>
      <c r="E118" t="inlineStr">
        <is>
          <t>FAGERSTA</t>
        </is>
      </c>
      <c r="F118" t="inlineStr">
        <is>
          <t>Övriga Aktiebolag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31231-2024</t>
        </is>
      </c>
      <c r="B119" s="1" t="n">
        <v>45503</v>
      </c>
      <c r="C119" s="1" t="n">
        <v>45886</v>
      </c>
      <c r="D119" t="inlineStr">
        <is>
          <t>VÄSTMANLANDS LÄN</t>
        </is>
      </c>
      <c r="E119" t="inlineStr">
        <is>
          <t>FAGERSTA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50209-2024</t>
        </is>
      </c>
      <c r="B120" s="1" t="n">
        <v>45600</v>
      </c>
      <c r="C120" s="1" t="n">
        <v>45886</v>
      </c>
      <c r="D120" t="inlineStr">
        <is>
          <t>VÄSTMANLANDS LÄN</t>
        </is>
      </c>
      <c r="E120" t="inlineStr">
        <is>
          <t>FAGERSTA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30630-2023</t>
        </is>
      </c>
      <c r="B121" s="1" t="n">
        <v>45112</v>
      </c>
      <c r="C121" s="1" t="n">
        <v>45886</v>
      </c>
      <c r="D121" t="inlineStr">
        <is>
          <t>VÄSTMANLANDS LÄN</t>
        </is>
      </c>
      <c r="E121" t="inlineStr">
        <is>
          <t>FAGERSTA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13721-2024</t>
        </is>
      </c>
      <c r="B122" s="1" t="n">
        <v>45390</v>
      </c>
      <c r="C122" s="1" t="n">
        <v>45886</v>
      </c>
      <c r="D122" t="inlineStr">
        <is>
          <t>VÄSTMANLANDS LÄN</t>
        </is>
      </c>
      <c r="E122" t="inlineStr">
        <is>
          <t>FAGERSTA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10820-2025</t>
        </is>
      </c>
      <c r="B123" s="1" t="n">
        <v>45722.55008101852</v>
      </c>
      <c r="C123" s="1" t="n">
        <v>45886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7380-2025</t>
        </is>
      </c>
      <c r="B124" s="1" t="n">
        <v>45705.32150462963</v>
      </c>
      <c r="C124" s="1" t="n">
        <v>45886</v>
      </c>
      <c r="D124" t="inlineStr">
        <is>
          <t>VÄSTMANLANDS LÄN</t>
        </is>
      </c>
      <c r="E124" t="inlineStr">
        <is>
          <t>FAGERSTA</t>
        </is>
      </c>
      <c r="F124" t="inlineStr">
        <is>
          <t>Bergvik skog väst AB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33785-2023</t>
        </is>
      </c>
      <c r="B125" s="1" t="n">
        <v>45131</v>
      </c>
      <c r="C125" s="1" t="n">
        <v>45886</v>
      </c>
      <c r="D125" t="inlineStr">
        <is>
          <t>VÄSTMANLANDS LÄN</t>
        </is>
      </c>
      <c r="E125" t="inlineStr">
        <is>
          <t>FAGERSTA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26509-2022</t>
        </is>
      </c>
      <c r="B126" s="1" t="n">
        <v>44739</v>
      </c>
      <c r="C126" s="1" t="n">
        <v>45886</v>
      </c>
      <c r="D126" t="inlineStr">
        <is>
          <t>VÄSTMANLANDS LÄN</t>
        </is>
      </c>
      <c r="E126" t="inlineStr">
        <is>
          <t>FAGERSTA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15812-2025</t>
        </is>
      </c>
      <c r="B127" s="1" t="n">
        <v>45748.66613425926</v>
      </c>
      <c r="C127" s="1" t="n">
        <v>45886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49311-2022</t>
        </is>
      </c>
      <c r="B128" s="1" t="n">
        <v>44861</v>
      </c>
      <c r="C128" s="1" t="n">
        <v>45886</v>
      </c>
      <c r="D128" t="inlineStr">
        <is>
          <t>VÄSTMANLANDS LÄN</t>
        </is>
      </c>
      <c r="E128" t="inlineStr">
        <is>
          <t>FAGERSTA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7385-2023</t>
        </is>
      </c>
      <c r="B129" s="1" t="n">
        <v>44971</v>
      </c>
      <c r="C129" s="1" t="n">
        <v>45886</v>
      </c>
      <c r="D129" t="inlineStr">
        <is>
          <t>VÄSTMANLANDS LÄN</t>
        </is>
      </c>
      <c r="E129" t="inlineStr">
        <is>
          <t>FAGERSTA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28249-2022</t>
        </is>
      </c>
      <c r="B130" s="1" t="n">
        <v>44746</v>
      </c>
      <c r="C130" s="1" t="n">
        <v>45886</v>
      </c>
      <c r="D130" t="inlineStr">
        <is>
          <t>VÄSTMANLANDS LÄN</t>
        </is>
      </c>
      <c r="E130" t="inlineStr">
        <is>
          <t>FAGERSTA</t>
        </is>
      </c>
      <c r="F130" t="inlineStr">
        <is>
          <t>Kommuner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56699-2024</t>
        </is>
      </c>
      <c r="B131" s="1" t="n">
        <v>45627.7980787037</v>
      </c>
      <c r="C131" s="1" t="n">
        <v>45886</v>
      </c>
      <c r="D131" t="inlineStr">
        <is>
          <t>VÄSTMANLANDS LÄN</t>
        </is>
      </c>
      <c r="E131" t="inlineStr">
        <is>
          <t>FAGERSTA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4486-2025</t>
        </is>
      </c>
      <c r="B132" s="1" t="n">
        <v>45686</v>
      </c>
      <c r="C132" s="1" t="n">
        <v>45886</v>
      </c>
      <c r="D132" t="inlineStr">
        <is>
          <t>VÄSTMANLANDS LÄN</t>
        </is>
      </c>
      <c r="E132" t="inlineStr">
        <is>
          <t>FAGERSTA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51586-2023</t>
        </is>
      </c>
      <c r="B133" s="1" t="n">
        <v>45222.46934027778</v>
      </c>
      <c r="C133" s="1" t="n">
        <v>45886</v>
      </c>
      <c r="D133" t="inlineStr">
        <is>
          <t>VÄSTMANLANDS LÄN</t>
        </is>
      </c>
      <c r="E133" t="inlineStr">
        <is>
          <t>FAGERSTA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22484-2023</t>
        </is>
      </c>
      <c r="B134" s="1" t="n">
        <v>45071</v>
      </c>
      <c r="C134" s="1" t="n">
        <v>45886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17612-2025</t>
        </is>
      </c>
      <c r="B135" s="1" t="n">
        <v>45757.79734953704</v>
      </c>
      <c r="C135" s="1" t="n">
        <v>45886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18463-2025</t>
        </is>
      </c>
      <c r="B136" s="1" t="n">
        <v>45762.69976851852</v>
      </c>
      <c r="C136" s="1" t="n">
        <v>45886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14590-2025</t>
        </is>
      </c>
      <c r="B137" s="1" t="n">
        <v>45742.33019675926</v>
      </c>
      <c r="C137" s="1" t="n">
        <v>45886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16545-2025</t>
        </is>
      </c>
      <c r="B138" s="1" t="n">
        <v>45751.68105324074</v>
      </c>
      <c r="C138" s="1" t="n">
        <v>45886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16546-2025</t>
        </is>
      </c>
      <c r="B139" s="1" t="n">
        <v>45751.683125</v>
      </c>
      <c r="C139" s="1" t="n">
        <v>45886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45886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54804-2023</t>
        </is>
      </c>
      <c r="B141" s="1" t="n">
        <v>45236.51261574074</v>
      </c>
      <c r="C141" s="1" t="n">
        <v>45886</v>
      </c>
      <c r="D141" t="inlineStr">
        <is>
          <t>VÄSTMANLANDS LÄN</t>
        </is>
      </c>
      <c r="E141" t="inlineStr">
        <is>
          <t>FAGERSTA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16547-2025</t>
        </is>
      </c>
      <c r="B142" s="1" t="n">
        <v>45751.68385416667</v>
      </c>
      <c r="C142" s="1" t="n">
        <v>45886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22323-2024</t>
        </is>
      </c>
      <c r="B143" s="1" t="n">
        <v>45446</v>
      </c>
      <c r="C143" s="1" t="n">
        <v>45886</v>
      </c>
      <c r="D143" t="inlineStr">
        <is>
          <t>VÄSTMANLANDS LÄN</t>
        </is>
      </c>
      <c r="E143" t="inlineStr">
        <is>
          <t>FAGERSTA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2025-08-17T08:28:25Z</dcterms:created>
  <dcterms:modified xmlns:dcterms="http://purl.org/dc/terms/" xmlns:xsi="http://www.w3.org/2001/XMLSchema-instance" xsi:type="dcterms:W3CDTF">2025-08-17T08:28:25Z</dcterms:modified>
</cp:coreProperties>
</file>