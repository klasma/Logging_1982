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28438-2022</t>
        </is>
      </c>
      <c r="B2" s="1" t="n">
        <v>44747</v>
      </c>
      <c r="C2" s="1" t="n">
        <v>46202</v>
      </c>
      <c r="D2" t="inlineStr">
        <is>
          <t>VÄSTMANLANDS LÄN</t>
        </is>
      </c>
      <c r="E2" t="inlineStr">
        <is>
          <t>FAGERSTA</t>
        </is>
      </c>
      <c r="F2" t="inlineStr">
        <is>
          <t>Sveaskog</t>
        </is>
      </c>
      <c r="G2" t="n">
        <v>2.6</v>
      </c>
      <c r="H2" t="n">
        <v>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Motaggsvamp
Stjärntagging
Tallticka
Ullticka
Vedtrappmossa
Kornknutmossa
Orre</t>
        </is>
      </c>
      <c r="S2">
        <f>HYPERLINK("https://klasma.github.io/Logging_1982/artfynd/A 28438-2022 artfynd.xlsx", "A 28438-2022")</f>
        <v/>
      </c>
      <c r="T2">
        <f>HYPERLINK("https://klasma.github.io/Logging_1982/kartor/A 28438-2022 karta.png", "A 28438-2022")</f>
        <v/>
      </c>
      <c r="V2">
        <f>HYPERLINK("https://klasma.github.io/Logging_1982/klagomål/A 28438-2022 FSC-klagomål.docx", "A 28438-2022")</f>
        <v/>
      </c>
      <c r="W2">
        <f>HYPERLINK("https://klasma.github.io/Logging_1982/klagomålsmail/A 28438-2022 FSC-klagomål mail.docx", "A 28438-2022")</f>
        <v/>
      </c>
      <c r="X2">
        <f>HYPERLINK("https://klasma.github.io/Logging_1982/tillsyn/A 28438-2022 tillsynsbegäran.docx", "A 28438-2022")</f>
        <v/>
      </c>
      <c r="Y2">
        <f>HYPERLINK("https://klasma.github.io/Logging_1982/tillsynsmail/A 28438-2022 tillsynsbegäran mail.docx", "A 28438-2022")</f>
        <v/>
      </c>
      <c r="Z2">
        <f>HYPERLINK("https://klasma.github.io/Logging_1982/fåglar/A 28438-2022 prioriterade fågelarter.docx", "A 28438-2022")</f>
        <v/>
      </c>
    </row>
    <row r="3" ht="15" customHeight="1">
      <c r="A3" t="inlineStr">
        <is>
          <t>A 12909-2025</t>
        </is>
      </c>
      <c r="B3" s="1" t="n">
        <v>45733</v>
      </c>
      <c r="C3" s="1" t="n">
        <v>46202</v>
      </c>
      <c r="D3" t="inlineStr">
        <is>
          <t>VÄSTMANLANDS LÄN</t>
        </is>
      </c>
      <c r="E3" t="inlineStr">
        <is>
          <t>FAGERSTA</t>
        </is>
      </c>
      <c r="G3" t="n">
        <v>10.9</v>
      </c>
      <c r="H3" t="n">
        <v>3</v>
      </c>
      <c r="I3" t="n">
        <v>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7</v>
      </c>
      <c r="R3" s="2" t="inlineStr">
        <is>
          <t>Knärot
Dofttaggsvamp
Motaggsvamp
Talltita
Ullticka
Älg
Tjäder</t>
        </is>
      </c>
      <c r="S3">
        <f>HYPERLINK("https://klasma.github.io/Logging_1982/artfynd/A 12909-2025 artfynd.xlsx", "A 12909-2025")</f>
        <v/>
      </c>
      <c r="T3">
        <f>HYPERLINK("https://klasma.github.io/Logging_1982/kartor/A 12909-2025 karta.png", "A 12909-2025")</f>
        <v/>
      </c>
      <c r="U3">
        <f>HYPERLINK("https://klasma.github.io/Logging_1982/knärot/A 12909-2025 karta knärot.png", "A 12909-2025")</f>
        <v/>
      </c>
      <c r="V3">
        <f>HYPERLINK("https://klasma.github.io/Logging_1982/klagomål/A 12909-2025 FSC-klagomål.docx", "A 12909-2025")</f>
        <v/>
      </c>
      <c r="W3">
        <f>HYPERLINK("https://klasma.github.io/Logging_1982/klagomålsmail/A 12909-2025 FSC-klagomål mail.docx", "A 12909-2025")</f>
        <v/>
      </c>
      <c r="X3">
        <f>HYPERLINK("https://klasma.github.io/Logging_1982/tillsyn/A 12909-2025 tillsynsbegäran.docx", "A 12909-2025")</f>
        <v/>
      </c>
      <c r="Y3">
        <f>HYPERLINK("https://klasma.github.io/Logging_1982/tillsynsmail/A 12909-2025 tillsynsbegäran mail.docx", "A 12909-2025")</f>
        <v/>
      </c>
      <c r="Z3">
        <f>HYPERLINK("https://klasma.github.io/Logging_1982/fåglar/A 12909-2025 prioriterade fågelarter.docx", "A 12909-2025")</f>
        <v/>
      </c>
    </row>
    <row r="4" ht="15" customHeight="1">
      <c r="A4" t="inlineStr">
        <is>
          <t>A 17686-2025</t>
        </is>
      </c>
      <c r="B4" s="1" t="n">
        <v>45758</v>
      </c>
      <c r="C4" s="1" t="n">
        <v>46202</v>
      </c>
      <c r="D4" t="inlineStr">
        <is>
          <t>VÄSTMANLANDS LÄN</t>
        </is>
      </c>
      <c r="E4" t="inlineStr">
        <is>
          <t>FAGERSTA</t>
        </is>
      </c>
      <c r="G4" t="n">
        <v>4.8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Gropticka
Talltita
Vedticka</t>
        </is>
      </c>
      <c r="S4">
        <f>HYPERLINK("https://klasma.github.io/Logging_1982/artfynd/A 17686-2025 artfynd.xlsx", "A 17686-2025")</f>
        <v/>
      </c>
      <c r="T4">
        <f>HYPERLINK("https://klasma.github.io/Logging_1982/kartor/A 17686-2025 karta.png", "A 17686-2025")</f>
        <v/>
      </c>
      <c r="U4">
        <f>HYPERLINK("https://klasma.github.io/Logging_1982/knärot/A 17686-2025 karta knärot.png", "A 17686-2025")</f>
        <v/>
      </c>
      <c r="V4">
        <f>HYPERLINK("https://klasma.github.io/Logging_1982/klagomål/A 17686-2025 FSC-klagomål.docx", "A 17686-2025")</f>
        <v/>
      </c>
      <c r="W4">
        <f>HYPERLINK("https://klasma.github.io/Logging_1982/klagomålsmail/A 17686-2025 FSC-klagomål mail.docx", "A 17686-2025")</f>
        <v/>
      </c>
      <c r="X4">
        <f>HYPERLINK("https://klasma.github.io/Logging_1982/tillsyn/A 17686-2025 tillsynsbegäran.docx", "A 17686-2025")</f>
        <v/>
      </c>
      <c r="Y4">
        <f>HYPERLINK("https://klasma.github.io/Logging_1982/tillsynsmail/A 17686-2025 tillsynsbegäran mail.docx", "A 17686-2025")</f>
        <v/>
      </c>
      <c r="Z4">
        <f>HYPERLINK("https://klasma.github.io/Logging_1982/fåglar/A 17686-2025 prioriterade fågelarter.docx", "A 17686-2025")</f>
        <v/>
      </c>
    </row>
    <row r="5" ht="15" customHeight="1">
      <c r="A5" t="inlineStr">
        <is>
          <t>A 28435-2022</t>
        </is>
      </c>
      <c r="B5" s="1" t="n">
        <v>44747</v>
      </c>
      <c r="C5" s="1" t="n">
        <v>46202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0.9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Stjärntagging
Mörk husmossa
Spädstarr</t>
        </is>
      </c>
      <c r="S5">
        <f>HYPERLINK("https://klasma.github.io/Logging_1982/artfynd/A 28435-2022 artfynd.xlsx", "A 28435-2022")</f>
        <v/>
      </c>
      <c r="T5">
        <f>HYPERLINK("https://klasma.github.io/Logging_1982/kartor/A 28435-2022 karta.png", "A 28435-2022")</f>
        <v/>
      </c>
      <c r="V5">
        <f>HYPERLINK("https://klasma.github.io/Logging_1982/klagomål/A 28435-2022 FSC-klagomål.docx", "A 28435-2022")</f>
        <v/>
      </c>
      <c r="W5">
        <f>HYPERLINK("https://klasma.github.io/Logging_1982/klagomålsmail/A 28435-2022 FSC-klagomål mail.docx", "A 28435-2022")</f>
        <v/>
      </c>
      <c r="X5">
        <f>HYPERLINK("https://klasma.github.io/Logging_1982/tillsyn/A 28435-2022 tillsynsbegäran.docx", "A 28435-2022")</f>
        <v/>
      </c>
      <c r="Y5">
        <f>HYPERLINK("https://klasma.github.io/Logging_1982/tillsynsmail/A 28435-2022 tillsynsbegäran mail.docx", "A 28435-2022")</f>
        <v/>
      </c>
    </row>
    <row r="6" ht="15" customHeight="1">
      <c r="A6" t="inlineStr">
        <is>
          <t>A 51033-2025</t>
        </is>
      </c>
      <c r="B6" s="1" t="n">
        <v>45947</v>
      </c>
      <c r="C6" s="1" t="n">
        <v>46202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5.2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Gul taggsvamp
Fjällig taggsvamp s.str.
Grönkulla</t>
        </is>
      </c>
      <c r="S6">
        <f>HYPERLINK("https://klasma.github.io/Logging_1982/artfynd/A 51033-2025 artfynd.xlsx", "A 51033-2025")</f>
        <v/>
      </c>
      <c r="T6">
        <f>HYPERLINK("https://klasma.github.io/Logging_1982/kartor/A 51033-2025 karta.png", "A 51033-2025")</f>
        <v/>
      </c>
      <c r="V6">
        <f>HYPERLINK("https://klasma.github.io/Logging_1982/klagomål/A 51033-2025 FSC-klagomål.docx", "A 51033-2025")</f>
        <v/>
      </c>
      <c r="W6">
        <f>HYPERLINK("https://klasma.github.io/Logging_1982/klagomålsmail/A 51033-2025 FSC-klagomål mail.docx", "A 51033-2025")</f>
        <v/>
      </c>
      <c r="X6">
        <f>HYPERLINK("https://klasma.github.io/Logging_1982/tillsyn/A 51033-2025 tillsynsbegäran.docx", "A 51033-2025")</f>
        <v/>
      </c>
      <c r="Y6">
        <f>HYPERLINK("https://klasma.github.io/Logging_1982/tillsynsmail/A 51033-2025 tillsynsbegäran mail.docx", "A 51033-2025")</f>
        <v/>
      </c>
    </row>
    <row r="7" ht="15" customHeight="1">
      <c r="A7" t="inlineStr">
        <is>
          <t>A 62470-2021</t>
        </is>
      </c>
      <c r="B7" s="1" t="n">
        <v>44503</v>
      </c>
      <c r="C7" s="1" t="n">
        <v>46202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Spädstarr</t>
        </is>
      </c>
      <c r="S7">
        <f>HYPERLINK("https://klasma.github.io/Logging_1982/artfynd/A 62470-2021 artfynd.xlsx", "A 62470-2021")</f>
        <v/>
      </c>
      <c r="T7">
        <f>HYPERLINK("https://klasma.github.io/Logging_1982/kartor/A 62470-2021 karta.png", "A 62470-2021")</f>
        <v/>
      </c>
      <c r="V7">
        <f>HYPERLINK("https://klasma.github.io/Logging_1982/klagomål/A 62470-2021 FSC-klagomål.docx", "A 62470-2021")</f>
        <v/>
      </c>
      <c r="W7">
        <f>HYPERLINK("https://klasma.github.io/Logging_1982/klagomålsmail/A 62470-2021 FSC-klagomål mail.docx", "A 62470-2021")</f>
        <v/>
      </c>
      <c r="X7">
        <f>HYPERLINK("https://klasma.github.io/Logging_1982/tillsyn/A 62470-2021 tillsynsbegäran.docx", "A 62470-2021")</f>
        <v/>
      </c>
      <c r="Y7">
        <f>HYPERLINK("https://klasma.github.io/Logging_1982/tillsynsmail/A 62470-2021 tillsynsbegäran mail.docx", "A 62470-2021")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46202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7385-2023</t>
        </is>
      </c>
      <c r="B9" s="1" t="n">
        <v>44971</v>
      </c>
      <c r="C9" s="1" t="n">
        <v>46202</v>
      </c>
      <c r="D9" t="inlineStr">
        <is>
          <t>VÄSTMANLANDS LÄN</t>
        </is>
      </c>
      <c r="E9" t="inlineStr">
        <is>
          <t>FAGERSTA</t>
        </is>
      </c>
      <c r="G9" t="n">
        <v>3.5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Bolmört
Tibast</t>
        </is>
      </c>
      <c r="S9">
        <f>HYPERLINK("https://klasma.github.io/Logging_1982/artfynd/A 7385-2023 artfynd.xlsx", "A 7385-2023")</f>
        <v/>
      </c>
      <c r="T9">
        <f>HYPERLINK("https://klasma.github.io/Logging_1982/kartor/A 7385-2023 karta.png", "A 7385-2023")</f>
        <v/>
      </c>
      <c r="V9">
        <f>HYPERLINK("https://klasma.github.io/Logging_1982/klagomål/A 7385-2023 FSC-klagomål.docx", "A 7385-2023")</f>
        <v/>
      </c>
      <c r="W9">
        <f>HYPERLINK("https://klasma.github.io/Logging_1982/klagomålsmail/A 7385-2023 FSC-klagomål mail.docx", "A 7385-2023")</f>
        <v/>
      </c>
      <c r="X9">
        <f>HYPERLINK("https://klasma.github.io/Logging_1982/tillsyn/A 7385-2023 tillsynsbegäran.docx", "A 7385-2023")</f>
        <v/>
      </c>
      <c r="Y9">
        <f>HYPERLINK("https://klasma.github.io/Logging_1982/tillsynsmail/A 7385-2023 tillsynsbegäran mail.docx", "A 7385-2023")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46202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Backruta
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1683-2026</t>
        </is>
      </c>
      <c r="B11" s="1" t="n">
        <v>46034</v>
      </c>
      <c r="C11" s="1" t="n">
        <v>46202</v>
      </c>
      <c r="D11" t="inlineStr">
        <is>
          <t>VÄSTMANLANDS LÄN</t>
        </is>
      </c>
      <c r="E11" t="inlineStr">
        <is>
          <t>FAGERSTA</t>
        </is>
      </c>
      <c r="F11" t="inlineStr">
        <is>
          <t>Kommuner</t>
        </is>
      </c>
      <c r="G11" t="n">
        <v>29.2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Skogsalm
Talltita</t>
        </is>
      </c>
      <c r="S11">
        <f>HYPERLINK("https://klasma.github.io/Logging_1982/artfynd/A 1683-2026 artfynd.xlsx", "A 1683-2026")</f>
        <v/>
      </c>
      <c r="T11">
        <f>HYPERLINK("https://klasma.github.io/Logging_1982/kartor/A 1683-2026 karta.png", "A 1683-2026")</f>
        <v/>
      </c>
      <c r="V11">
        <f>HYPERLINK("https://klasma.github.io/Logging_1982/klagomål/A 1683-2026 FSC-klagomål.docx", "A 1683-2026")</f>
        <v/>
      </c>
      <c r="W11">
        <f>HYPERLINK("https://klasma.github.io/Logging_1982/klagomålsmail/A 1683-2026 FSC-klagomål mail.docx", "A 1683-2026")</f>
        <v/>
      </c>
      <c r="X11">
        <f>HYPERLINK("https://klasma.github.io/Logging_1982/tillsyn/A 1683-2026 tillsynsbegäran.docx", "A 1683-2026")</f>
        <v/>
      </c>
      <c r="Y11">
        <f>HYPERLINK("https://klasma.github.io/Logging_1982/tillsynsmail/A 1683-2026 tillsynsbegäran mail.docx", "A 1683-2026")</f>
        <v/>
      </c>
      <c r="Z11">
        <f>HYPERLINK("https://klasma.github.io/Logging_1982/fåglar/A 1683-2026 prioriterade fågelarter.docx", "A 1683-2026")</f>
        <v/>
      </c>
    </row>
    <row r="12" ht="15" customHeight="1">
      <c r="A12" t="inlineStr">
        <is>
          <t>A 17889-2026</t>
        </is>
      </c>
      <c r="B12" s="1" t="n">
        <v>46122</v>
      </c>
      <c r="C12" s="1" t="n">
        <v>46202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2.7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Garnlav
Tallticka</t>
        </is>
      </c>
      <c r="S12">
        <f>HYPERLINK("https://klasma.github.io/Logging_1982/artfynd/A 17889-2026 artfynd.xlsx", "A 17889-2026")</f>
        <v/>
      </c>
      <c r="T12">
        <f>HYPERLINK("https://klasma.github.io/Logging_1982/kartor/A 17889-2026 karta.png", "A 17889-2026")</f>
        <v/>
      </c>
      <c r="V12">
        <f>HYPERLINK("https://klasma.github.io/Logging_1982/klagomål/A 17889-2026 FSC-klagomål.docx", "A 17889-2026")</f>
        <v/>
      </c>
      <c r="W12">
        <f>HYPERLINK("https://klasma.github.io/Logging_1982/klagomålsmail/A 17889-2026 FSC-klagomål mail.docx", "A 17889-2026")</f>
        <v/>
      </c>
      <c r="X12">
        <f>HYPERLINK("https://klasma.github.io/Logging_1982/tillsyn/A 17889-2026 tillsynsbegäran.docx", "A 17889-2026")</f>
        <v/>
      </c>
      <c r="Y12">
        <f>HYPERLINK("https://klasma.github.io/Logging_1982/tillsynsmail/A 17889-2026 tillsynsbegäran mail.docx", "A 17889-2026")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46202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38128-2021</t>
        </is>
      </c>
      <c r="B14" s="1" t="n">
        <v>44405</v>
      </c>
      <c r="C14" s="1" t="n">
        <v>46202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38128-2021 artfynd.xlsx", "A 38128-2021")</f>
        <v/>
      </c>
      <c r="T14">
        <f>HYPERLINK("https://klasma.github.io/Logging_1982/kartor/A 38128-2021 karta.png", "A 38128-2021")</f>
        <v/>
      </c>
      <c r="U14">
        <f>HYPERLINK("https://klasma.github.io/Logging_1982/knärot/A 38128-2021 karta knärot.png", "A 38128-2021")</f>
        <v/>
      </c>
      <c r="V14">
        <f>HYPERLINK("https://klasma.github.io/Logging_1982/klagomål/A 38128-2021 FSC-klagomål.docx", "A 38128-2021")</f>
        <v/>
      </c>
      <c r="W14">
        <f>HYPERLINK("https://klasma.github.io/Logging_1982/klagomålsmail/A 38128-2021 FSC-klagomål mail.docx", "A 38128-2021")</f>
        <v/>
      </c>
      <c r="X14">
        <f>HYPERLINK("https://klasma.github.io/Logging_1982/tillsyn/A 38128-2021 tillsynsbegäran.docx", "A 38128-2021")</f>
        <v/>
      </c>
      <c r="Y14">
        <f>HYPERLINK("https://klasma.github.io/Logging_1982/tillsynsmail/A 38128-2021 tillsynsbegäran mail.docx", "A 38128-2021")</f>
        <v/>
      </c>
    </row>
    <row r="15" ht="15" customHeight="1">
      <c r="A15" t="inlineStr">
        <is>
          <t>A 15334-2023</t>
        </is>
      </c>
      <c r="B15" s="1" t="n">
        <v>45019</v>
      </c>
      <c r="C15" s="1" t="n">
        <v>46202</v>
      </c>
      <c r="D15" t="inlineStr">
        <is>
          <t>VÄSTMANLANDS LÄN</t>
        </is>
      </c>
      <c r="E15" t="inlineStr">
        <is>
          <t>FAGERSTA</t>
        </is>
      </c>
      <c r="F15" t="inlineStr">
        <is>
          <t>Övriga Aktiebolag</t>
        </is>
      </c>
      <c r="G15" t="n">
        <v>27.3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HYPERLINK("https://klasma.github.io/Logging_1982/artfynd/A 15334-2023 artfynd.xlsx", "A 15334-2023")</f>
        <v/>
      </c>
      <c r="T15">
        <f>HYPERLINK("https://klasma.github.io/Logging_1982/kartor/A 15334-2023 karta.png", "A 15334-2023")</f>
        <v/>
      </c>
      <c r="V15">
        <f>HYPERLINK("https://klasma.github.io/Logging_1982/klagomål/A 15334-2023 FSC-klagomål.docx", "A 15334-2023")</f>
        <v/>
      </c>
      <c r="W15">
        <f>HYPERLINK("https://klasma.github.io/Logging_1982/klagomålsmail/A 15334-2023 FSC-klagomål mail.docx", "A 15334-2023")</f>
        <v/>
      </c>
      <c r="X15">
        <f>HYPERLINK("https://klasma.github.io/Logging_1982/tillsyn/A 15334-2023 tillsynsbegäran.docx", "A 15334-2023")</f>
        <v/>
      </c>
      <c r="Y15">
        <f>HYPERLINK("https://klasma.github.io/Logging_1982/tillsynsmail/A 15334-2023 tillsynsbegäran mail.docx", "A 15334-2023")</f>
        <v/>
      </c>
    </row>
    <row r="16" ht="15" customHeight="1">
      <c r="A16" t="inlineStr">
        <is>
          <t>A 19550-2025</t>
        </is>
      </c>
      <c r="B16" s="1" t="n">
        <v>45770</v>
      </c>
      <c r="C16" s="1" t="n">
        <v>46202</v>
      </c>
      <c r="D16" t="inlineStr">
        <is>
          <t>VÄSTMANLANDS LÄN</t>
        </is>
      </c>
      <c r="E16" t="inlineStr">
        <is>
          <t>FAGERSTA</t>
        </is>
      </c>
      <c r="G16" t="n">
        <v>16.4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19550-2025 artfynd.xlsx", "A 19550-2025")</f>
        <v/>
      </c>
      <c r="T16">
        <f>HYPERLINK("https://klasma.github.io/Logging_1982/kartor/A 19550-2025 karta.png", "A 19550-2025")</f>
        <v/>
      </c>
      <c r="V16">
        <f>HYPERLINK("https://klasma.github.io/Logging_1982/klagomål/A 19550-2025 FSC-klagomål.docx", "A 19550-2025")</f>
        <v/>
      </c>
      <c r="W16">
        <f>HYPERLINK("https://klasma.github.io/Logging_1982/klagomålsmail/A 19550-2025 FSC-klagomål mail.docx", "A 19550-2025")</f>
        <v/>
      </c>
      <c r="X16">
        <f>HYPERLINK("https://klasma.github.io/Logging_1982/tillsyn/A 19550-2025 tillsynsbegäran.docx", "A 19550-2025")</f>
        <v/>
      </c>
      <c r="Y16">
        <f>HYPERLINK("https://klasma.github.io/Logging_1982/tillsynsmail/A 19550-2025 tillsynsbegäran mail.docx", "A 19550-2025")</f>
        <v/>
      </c>
    </row>
    <row r="17" ht="15" customHeight="1">
      <c r="A17" t="inlineStr">
        <is>
          <t>A 38127-2021</t>
        </is>
      </c>
      <c r="B17" s="1" t="n">
        <v>44405</v>
      </c>
      <c r="C17" s="1" t="n">
        <v>46202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HYPERLINK("https://klasma.github.io/Logging_1982/artfynd/A 38127-2021 artfynd.xlsx", "A 38127-2021")</f>
        <v/>
      </c>
      <c r="T17">
        <f>HYPERLINK("https://klasma.github.io/Logging_1982/kartor/A 38127-2021 karta.png", "A 38127-2021")</f>
        <v/>
      </c>
      <c r="U17">
        <f>HYPERLINK("https://klasma.github.io/Logging_1982/knärot/A 38127-2021 karta knärot.png", "A 38127-2021")</f>
        <v/>
      </c>
      <c r="V17">
        <f>HYPERLINK("https://klasma.github.io/Logging_1982/klagomål/A 38127-2021 FSC-klagomål.docx", "A 38127-2021")</f>
        <v/>
      </c>
      <c r="W17">
        <f>HYPERLINK("https://klasma.github.io/Logging_1982/klagomålsmail/A 38127-2021 FSC-klagomål mail.docx", "A 38127-2021")</f>
        <v/>
      </c>
      <c r="X17">
        <f>HYPERLINK("https://klasma.github.io/Logging_1982/tillsyn/A 38127-2021 tillsynsbegäran.docx", "A 38127-2021")</f>
        <v/>
      </c>
      <c r="Y17">
        <f>HYPERLINK("https://klasma.github.io/Logging_1982/tillsynsmail/A 38127-2021 tillsynsbegäran mail.docx", "A 38127-2021")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46202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50226-2025</t>
        </is>
      </c>
      <c r="B19" s="1" t="n">
        <v>45943</v>
      </c>
      <c r="C19" s="1" t="n">
        <v>46202</v>
      </c>
      <c r="D19" t="inlineStr">
        <is>
          <t>VÄSTMANLANDS LÄN</t>
        </is>
      </c>
      <c r="E19" t="inlineStr">
        <is>
          <t>FAGERSTA</t>
        </is>
      </c>
      <c r="F19" t="inlineStr">
        <is>
          <t>Kommuner</t>
        </is>
      </c>
      <c r="G19" t="n">
        <v>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HYPERLINK("https://klasma.github.io/Logging_1982/artfynd/A 50226-2025 artfynd.xlsx", "A 50226-2025")</f>
        <v/>
      </c>
      <c r="T19">
        <f>HYPERLINK("https://klasma.github.io/Logging_1982/kartor/A 50226-2025 karta.png", "A 50226-2025")</f>
        <v/>
      </c>
      <c r="V19">
        <f>HYPERLINK("https://klasma.github.io/Logging_1982/klagomål/A 50226-2025 FSC-klagomål.docx", "A 50226-2025")</f>
        <v/>
      </c>
      <c r="W19">
        <f>HYPERLINK("https://klasma.github.io/Logging_1982/klagomålsmail/A 50226-2025 FSC-klagomål mail.docx", "A 50226-2025")</f>
        <v/>
      </c>
      <c r="X19">
        <f>HYPERLINK("https://klasma.github.io/Logging_1982/tillsyn/A 50226-2025 tillsynsbegäran.docx", "A 50226-2025")</f>
        <v/>
      </c>
      <c r="Y19">
        <f>HYPERLINK("https://klasma.github.io/Logging_1982/tillsynsmail/A 50226-2025 tillsynsbegäran mail.docx", "A 50226-2025")</f>
        <v/>
      </c>
    </row>
    <row r="20" ht="15" customHeight="1">
      <c r="A20" t="inlineStr">
        <is>
          <t>A 3553-2026</t>
        </is>
      </c>
      <c r="B20" s="1" t="n">
        <v>46042</v>
      </c>
      <c r="C20" s="1" t="n">
        <v>46202</v>
      </c>
      <c r="D20" t="inlineStr">
        <is>
          <t>VÄSTMANLANDS LÄN</t>
        </is>
      </c>
      <c r="E20" t="inlineStr">
        <is>
          <t>FAGERSTA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Rödlånke</t>
        </is>
      </c>
      <c r="S20">
        <f>HYPERLINK("https://klasma.github.io/Logging_1982/artfynd/A 3553-2026 artfynd.xlsx", "A 3553-2026")</f>
        <v/>
      </c>
      <c r="T20">
        <f>HYPERLINK("https://klasma.github.io/Logging_1982/kartor/A 3553-2026 karta.png", "A 3553-2026")</f>
        <v/>
      </c>
      <c r="V20">
        <f>HYPERLINK("https://klasma.github.io/Logging_1982/klagomål/A 3553-2026 FSC-klagomål.docx", "A 3553-2026")</f>
        <v/>
      </c>
      <c r="W20">
        <f>HYPERLINK("https://klasma.github.io/Logging_1982/klagomålsmail/A 3553-2026 FSC-klagomål mail.docx", "A 3553-2026")</f>
        <v/>
      </c>
      <c r="X20">
        <f>HYPERLINK("https://klasma.github.io/Logging_1982/tillsyn/A 3553-2026 tillsynsbegäran.docx", "A 3553-2026")</f>
        <v/>
      </c>
      <c r="Y20">
        <f>HYPERLINK("https://klasma.github.io/Logging_1982/tillsynsmail/A 3553-2026 tillsynsbegäran mail.docx", "A 3553-2026")</f>
        <v/>
      </c>
    </row>
    <row r="21" ht="15" customHeight="1">
      <c r="A21" t="inlineStr">
        <is>
          <t>A 74421-2021</t>
        </is>
      </c>
      <c r="B21" s="1" t="n">
        <v>44533</v>
      </c>
      <c r="C21" s="1" t="n">
        <v>46202</v>
      </c>
      <c r="D21" t="inlineStr">
        <is>
          <t>VÄSTMANLANDS LÄN</t>
        </is>
      </c>
      <c r="E21" t="inlineStr">
        <is>
          <t>FAGERSTA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70012-2021</t>
        </is>
      </c>
      <c r="B22" s="1" t="n">
        <v>44533</v>
      </c>
      <c r="C22" s="1" t="n">
        <v>46202</v>
      </c>
      <c r="D22" t="inlineStr">
        <is>
          <t>VÄSTMANLANDS LÄN</t>
        </is>
      </c>
      <c r="E22" t="inlineStr">
        <is>
          <t>FAGERSTA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3682-2022</t>
        </is>
      </c>
      <c r="B23" s="1" t="n">
        <v>44586</v>
      </c>
      <c r="C23" s="1" t="n">
        <v>46202</v>
      </c>
      <c r="D23" t="inlineStr">
        <is>
          <t>VÄSTMANLANDS LÄN</t>
        </is>
      </c>
      <c r="E23" t="inlineStr">
        <is>
          <t>FAGERSTA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56733-2021</t>
        </is>
      </c>
      <c r="B24" s="1" t="n">
        <v>44481</v>
      </c>
      <c r="C24" s="1" t="n">
        <v>46202</v>
      </c>
      <c r="D24" t="inlineStr">
        <is>
          <t>VÄSTMANLANDS LÄN</t>
        </is>
      </c>
      <c r="E24" t="inlineStr">
        <is>
          <t>FAGERSTA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74356-2021</t>
        </is>
      </c>
      <c r="B25" s="1" t="n">
        <v>44559</v>
      </c>
      <c r="C25" s="1" t="n">
        <v>46202</v>
      </c>
      <c r="D25" t="inlineStr">
        <is>
          <t>VÄSTMANLANDS LÄN</t>
        </is>
      </c>
      <c r="E25" t="inlineStr">
        <is>
          <t>FAGERSTA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37602-2021</t>
        </is>
      </c>
      <c r="B26" s="1" t="n">
        <v>44399</v>
      </c>
      <c r="C26" s="1" t="n">
        <v>46202</v>
      </c>
      <c r="D26" t="inlineStr">
        <is>
          <t>VÄSTMANLANDS LÄN</t>
        </is>
      </c>
      <c r="E26" t="inlineStr">
        <is>
          <t>FAGERSTA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74423-2021</t>
        </is>
      </c>
      <c r="B27" s="1" t="n">
        <v>44564</v>
      </c>
      <c r="C27" s="1" t="n">
        <v>46202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31831-2022</t>
        </is>
      </c>
      <c r="B28" s="1" t="n">
        <v>44776</v>
      </c>
      <c r="C28" s="1" t="n">
        <v>46202</v>
      </c>
      <c r="D28" t="inlineStr">
        <is>
          <t>VÄSTMANLANDS LÄN</t>
        </is>
      </c>
      <c r="E28" t="inlineStr">
        <is>
          <t>FAGERSTA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</v>
      </c>
      <c r="C29" s="1" t="n">
        <v>46202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46202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29510-2022</t>
        </is>
      </c>
      <c r="B31" s="1" t="n">
        <v>44753</v>
      </c>
      <c r="C31" s="1" t="n">
        <v>46202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29513-2022</t>
        </is>
      </c>
      <c r="B32" s="1" t="n">
        <v>44753</v>
      </c>
      <c r="C32" s="1" t="n">
        <v>46202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30868-2022</t>
        </is>
      </c>
      <c r="B33" s="1" t="n">
        <v>44767</v>
      </c>
      <c r="C33" s="1" t="n">
        <v>46202</v>
      </c>
      <c r="D33" t="inlineStr">
        <is>
          <t>VÄSTMANLANDS LÄN</t>
        </is>
      </c>
      <c r="E33" t="inlineStr">
        <is>
          <t>FAGERSTA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46202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46202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25053-2022</t>
        </is>
      </c>
      <c r="B36" s="1" t="n">
        <v>44729</v>
      </c>
      <c r="C36" s="1" t="n">
        <v>46202</v>
      </c>
      <c r="D36" t="inlineStr">
        <is>
          <t>VÄSTMANLANDS LÄN</t>
        </is>
      </c>
      <c r="E36" t="inlineStr">
        <is>
          <t>FAGERSTA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25057-2022</t>
        </is>
      </c>
      <c r="B37" s="1" t="n">
        <v>44729</v>
      </c>
      <c r="C37" s="1" t="n">
        <v>46202</v>
      </c>
      <c r="D37" t="inlineStr">
        <is>
          <t>VÄSTMANLANDS LÄN</t>
        </is>
      </c>
      <c r="E37" t="inlineStr">
        <is>
          <t>FAGERSTA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69104-2021</t>
        </is>
      </c>
      <c r="B38" s="1" t="n">
        <v>44530</v>
      </c>
      <c r="C38" s="1" t="n">
        <v>46202</v>
      </c>
      <c r="D38" t="inlineStr">
        <is>
          <t>VÄSTMANLANDS LÄN</t>
        </is>
      </c>
      <c r="E38" t="inlineStr">
        <is>
          <t>FAGERSTA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68174-2021</t>
        </is>
      </c>
      <c r="B39" s="1" t="n">
        <v>44526</v>
      </c>
      <c r="C39" s="1" t="n">
        <v>46202</v>
      </c>
      <c r="D39" t="inlineStr">
        <is>
          <t>VÄSTMANLANDS LÄN</t>
        </is>
      </c>
      <c r="E39" t="inlineStr">
        <is>
          <t>FAGERSTA</t>
        </is>
      </c>
      <c r="F39" t="inlineStr">
        <is>
          <t>Kyrkan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54804-2023</t>
        </is>
      </c>
      <c r="B40" s="1" t="n">
        <v>45236</v>
      </c>
      <c r="C40" s="1" t="n">
        <v>46202</v>
      </c>
      <c r="D40" t="inlineStr">
        <is>
          <t>VÄSTMANLANDS LÄN</t>
        </is>
      </c>
      <c r="E40" t="inlineStr">
        <is>
          <t>FAGERSTA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42844-2024</t>
        </is>
      </c>
      <c r="B41" s="1" t="n">
        <v>45566</v>
      </c>
      <c r="C41" s="1" t="n">
        <v>46202</v>
      </c>
      <c r="D41" t="inlineStr">
        <is>
          <t>VÄSTMANLANDS LÄN</t>
        </is>
      </c>
      <c r="E41" t="inlineStr">
        <is>
          <t>FAGERSTA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48261-2022</t>
        </is>
      </c>
      <c r="B42" s="1" t="n">
        <v>44858</v>
      </c>
      <c r="C42" s="1" t="n">
        <v>46202</v>
      </c>
      <c r="D42" t="inlineStr">
        <is>
          <t>VÄSTMANLANDS LÄN</t>
        </is>
      </c>
      <c r="E42" t="inlineStr">
        <is>
          <t>FAGERSTA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58464-2024</t>
        </is>
      </c>
      <c r="B43" s="1" t="n">
        <v>45635</v>
      </c>
      <c r="C43" s="1" t="n">
        <v>46202</v>
      </c>
      <c r="D43" t="inlineStr">
        <is>
          <t>VÄSTMANLANDS LÄN</t>
        </is>
      </c>
      <c r="E43" t="inlineStr">
        <is>
          <t>FAGERSTA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62095-2022</t>
        </is>
      </c>
      <c r="B44" s="1" t="n">
        <v>44919</v>
      </c>
      <c r="C44" s="1" t="n">
        <v>46202</v>
      </c>
      <c r="D44" t="inlineStr">
        <is>
          <t>VÄSTMANLANDS LÄN</t>
        </is>
      </c>
      <c r="E44" t="inlineStr">
        <is>
          <t>FAGERSTA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56694-2024</t>
        </is>
      </c>
      <c r="B45" s="1" t="n">
        <v>45627</v>
      </c>
      <c r="C45" s="1" t="n">
        <v>46202</v>
      </c>
      <c r="D45" t="inlineStr">
        <is>
          <t>VÄSTMANLANDS LÄN</t>
        </is>
      </c>
      <c r="E45" t="inlineStr">
        <is>
          <t>FAGERSTA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22482-2023</t>
        </is>
      </c>
      <c r="B46" s="1" t="n">
        <v>45071</v>
      </c>
      <c r="C46" s="1" t="n">
        <v>46202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22485-2023</t>
        </is>
      </c>
      <c r="B47" s="1" t="n">
        <v>45071</v>
      </c>
      <c r="C47" s="1" t="n">
        <v>46202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7380-2025</t>
        </is>
      </c>
      <c r="B48" s="1" t="n">
        <v>45705</v>
      </c>
      <c r="C48" s="1" t="n">
        <v>46202</v>
      </c>
      <c r="D48" t="inlineStr">
        <is>
          <t>VÄSTMANLANDS LÄN</t>
        </is>
      </c>
      <c r="E48" t="inlineStr">
        <is>
          <t>FAGERSTA</t>
        </is>
      </c>
      <c r="F48" t="inlineStr">
        <is>
          <t>Bergvik skog väst AB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10820-2025</t>
        </is>
      </c>
      <c r="B49" s="1" t="n">
        <v>45722</v>
      </c>
      <c r="C49" s="1" t="n">
        <v>46202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19888-2025</t>
        </is>
      </c>
      <c r="B50" s="1" t="n">
        <v>45771</v>
      </c>
      <c r="C50" s="1" t="n">
        <v>46202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56739-2021</t>
        </is>
      </c>
      <c r="B51" s="1" t="n">
        <v>44481</v>
      </c>
      <c r="C51" s="1" t="n">
        <v>46202</v>
      </c>
      <c r="D51" t="inlineStr">
        <is>
          <t>VÄSTMANLANDS LÄN</t>
        </is>
      </c>
      <c r="E51" t="inlineStr">
        <is>
          <t>FAGERSTA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13697-2025</t>
        </is>
      </c>
      <c r="B52" s="1" t="n">
        <v>45737</v>
      </c>
      <c r="C52" s="1" t="n">
        <v>46202</v>
      </c>
      <c r="D52" t="inlineStr">
        <is>
          <t>VÄSTMANLANDS LÄN</t>
        </is>
      </c>
      <c r="E52" t="inlineStr">
        <is>
          <t>FAGERSTA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33357-2023</t>
        </is>
      </c>
      <c r="B53" s="1" t="n">
        <v>45128</v>
      </c>
      <c r="C53" s="1" t="n">
        <v>46202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19213-2025</t>
        </is>
      </c>
      <c r="B54" s="1" t="n">
        <v>45769</v>
      </c>
      <c r="C54" s="1" t="n">
        <v>46202</v>
      </c>
      <c r="D54" t="inlineStr">
        <is>
          <t>VÄSTMANLANDS LÄN</t>
        </is>
      </c>
      <c r="E54" t="inlineStr">
        <is>
          <t>FAGERSTA</t>
        </is>
      </c>
      <c r="F54" t="inlineStr">
        <is>
          <t>Övriga Aktiebolag</t>
        </is>
      </c>
      <c r="G54" t="n">
        <v>14.6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33007-2023</t>
        </is>
      </c>
      <c r="B55" s="1" t="n">
        <v>45125</v>
      </c>
      <c r="C55" s="1" t="n">
        <v>46202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30630-2023</t>
        </is>
      </c>
      <c r="B56" s="1" t="n">
        <v>45112</v>
      </c>
      <c r="C56" s="1" t="n">
        <v>46202</v>
      </c>
      <c r="D56" t="inlineStr">
        <is>
          <t>VÄSTMANLANDS LÄN</t>
        </is>
      </c>
      <c r="E56" t="inlineStr">
        <is>
          <t>FAGERSTA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26509-2022</t>
        </is>
      </c>
      <c r="B57" s="1" t="n">
        <v>44739</v>
      </c>
      <c r="C57" s="1" t="n">
        <v>46202</v>
      </c>
      <c r="D57" t="inlineStr">
        <is>
          <t>VÄSTMANLANDS LÄN</t>
        </is>
      </c>
      <c r="E57" t="inlineStr">
        <is>
          <t>FAGERSTA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19156-2025</t>
        </is>
      </c>
      <c r="B58" s="1" t="n">
        <v>45769</v>
      </c>
      <c r="C58" s="1" t="n">
        <v>46202</v>
      </c>
      <c r="D58" t="inlineStr">
        <is>
          <t>VÄSTMANLANDS LÄN</t>
        </is>
      </c>
      <c r="E58" t="inlineStr">
        <is>
          <t>FAGERSTA</t>
        </is>
      </c>
      <c r="F58" t="inlineStr">
        <is>
          <t>Bergvik skog väst AB</t>
        </is>
      </c>
      <c r="G58" t="n">
        <v>10.1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19153-2025</t>
        </is>
      </c>
      <c r="B59" s="1" t="n">
        <v>45769</v>
      </c>
      <c r="C59" s="1" t="n">
        <v>46202</v>
      </c>
      <c r="D59" t="inlineStr">
        <is>
          <t>VÄSTMANLANDS LÄN</t>
        </is>
      </c>
      <c r="E59" t="inlineStr">
        <is>
          <t>FAGERSTA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49311-2022</t>
        </is>
      </c>
      <c r="B60" s="1" t="n">
        <v>44861</v>
      </c>
      <c r="C60" s="1" t="n">
        <v>46202</v>
      </c>
      <c r="D60" t="inlineStr">
        <is>
          <t>VÄSTMANLANDS LÄN</t>
        </is>
      </c>
      <c r="E60" t="inlineStr">
        <is>
          <t>FAGERSTA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21679-2024</t>
        </is>
      </c>
      <c r="B61" s="1" t="n">
        <v>45442</v>
      </c>
      <c r="C61" s="1" t="n">
        <v>46202</v>
      </c>
      <c r="D61" t="inlineStr">
        <is>
          <t>VÄSTMANLANDS LÄN</t>
        </is>
      </c>
      <c r="E61" t="inlineStr">
        <is>
          <t>FAGERSTA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4264-2023</t>
        </is>
      </c>
      <c r="B62" s="1" t="n">
        <v>44953</v>
      </c>
      <c r="C62" s="1" t="n">
        <v>46202</v>
      </c>
      <c r="D62" t="inlineStr">
        <is>
          <t>VÄSTMANLANDS LÄN</t>
        </is>
      </c>
      <c r="E62" t="inlineStr">
        <is>
          <t>FAGERSTA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51586-2023</t>
        </is>
      </c>
      <c r="B63" s="1" t="n">
        <v>45222</v>
      </c>
      <c r="C63" s="1" t="n">
        <v>46202</v>
      </c>
      <c r="D63" t="inlineStr">
        <is>
          <t>VÄSTMANLANDS LÄN</t>
        </is>
      </c>
      <c r="E63" t="inlineStr">
        <is>
          <t>FAGERSTA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57855-2023</t>
        </is>
      </c>
      <c r="B64" s="1" t="n">
        <v>45247</v>
      </c>
      <c r="C64" s="1" t="n">
        <v>46202</v>
      </c>
      <c r="D64" t="inlineStr">
        <is>
          <t>VÄSTMANLANDS LÄN</t>
        </is>
      </c>
      <c r="E64" t="inlineStr">
        <is>
          <t>FAGERSTA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18463-2025</t>
        </is>
      </c>
      <c r="B65" s="1" t="n">
        <v>45762</v>
      </c>
      <c r="C65" s="1" t="n">
        <v>46202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22323-2024</t>
        </is>
      </c>
      <c r="B66" s="1" t="n">
        <v>45446</v>
      </c>
      <c r="C66" s="1" t="n">
        <v>46202</v>
      </c>
      <c r="D66" t="inlineStr">
        <is>
          <t>VÄSTMANLANDS LÄN</t>
        </is>
      </c>
      <c r="E66" t="inlineStr">
        <is>
          <t>FAGERSTA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12125-2023</t>
        </is>
      </c>
      <c r="B67" s="1" t="n">
        <v>44998</v>
      </c>
      <c r="C67" s="1" t="n">
        <v>46202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26652-2025</t>
        </is>
      </c>
      <c r="B68" s="1" t="n">
        <v>45810</v>
      </c>
      <c r="C68" s="1" t="n">
        <v>46202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22.6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37955-2023</t>
        </is>
      </c>
      <c r="B69" s="1" t="n">
        <v>45160</v>
      </c>
      <c r="C69" s="1" t="n">
        <v>46202</v>
      </c>
      <c r="D69" t="inlineStr">
        <is>
          <t>VÄSTMANLANDS LÄN</t>
        </is>
      </c>
      <c r="E69" t="inlineStr">
        <is>
          <t>FAGERSTA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29075-2025</t>
        </is>
      </c>
      <c r="B70" s="1" t="n">
        <v>45821</v>
      </c>
      <c r="C70" s="1" t="n">
        <v>46202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63480-2023</t>
        </is>
      </c>
      <c r="B71" s="1" t="n">
        <v>45274</v>
      </c>
      <c r="C71" s="1" t="n">
        <v>46202</v>
      </c>
      <c r="D71" t="inlineStr">
        <is>
          <t>VÄSTMANLANDS LÄN</t>
        </is>
      </c>
      <c r="E71" t="inlineStr">
        <is>
          <t>FAGERSTA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15812-2025</t>
        </is>
      </c>
      <c r="B72" s="1" t="n">
        <v>45748</v>
      </c>
      <c r="C72" s="1" t="n">
        <v>46202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22484-2023</t>
        </is>
      </c>
      <c r="B73" s="1" t="n">
        <v>45071</v>
      </c>
      <c r="C73" s="1" t="n">
        <v>46202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8264-2023</t>
        </is>
      </c>
      <c r="B74" s="1" t="n">
        <v>44974</v>
      </c>
      <c r="C74" s="1" t="n">
        <v>46202</v>
      </c>
      <c r="D74" t="inlineStr">
        <is>
          <t>VÄSTMANLANDS LÄN</t>
        </is>
      </c>
      <c r="E74" t="inlineStr">
        <is>
          <t>FAGERSTA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32001-2025</t>
        </is>
      </c>
      <c r="B75" s="1" t="n">
        <v>45835</v>
      </c>
      <c r="C75" s="1" t="n">
        <v>46202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32805-2025</t>
        </is>
      </c>
      <c r="B76" s="1" t="n">
        <v>45839</v>
      </c>
      <c r="C76" s="1" t="n">
        <v>46202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33236-2025</t>
        </is>
      </c>
      <c r="B77" s="1" t="n">
        <v>45840</v>
      </c>
      <c r="C77" s="1" t="n">
        <v>46202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33232-2025</t>
        </is>
      </c>
      <c r="B78" s="1" t="n">
        <v>45840</v>
      </c>
      <c r="C78" s="1" t="n">
        <v>46202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33238-2025</t>
        </is>
      </c>
      <c r="B79" s="1" t="n">
        <v>45840</v>
      </c>
      <c r="C79" s="1" t="n">
        <v>46202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34374-2025</t>
        </is>
      </c>
      <c r="B80" s="1" t="n">
        <v>45846</v>
      </c>
      <c r="C80" s="1" t="n">
        <v>46202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56698-2024</t>
        </is>
      </c>
      <c r="B81" s="1" t="n">
        <v>45627</v>
      </c>
      <c r="C81" s="1" t="n">
        <v>46202</v>
      </c>
      <c r="D81" t="inlineStr">
        <is>
          <t>VÄSTMANLANDS LÄN</t>
        </is>
      </c>
      <c r="E81" t="inlineStr">
        <is>
          <t>FAGERSTA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28425-2025</t>
        </is>
      </c>
      <c r="B82" s="1" t="n">
        <v>45819</v>
      </c>
      <c r="C82" s="1" t="n">
        <v>46202</v>
      </c>
      <c r="D82" t="inlineStr">
        <is>
          <t>VÄSTMANLANDS LÄN</t>
        </is>
      </c>
      <c r="E82" t="inlineStr">
        <is>
          <t>FAGERSTA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56699-2024</t>
        </is>
      </c>
      <c r="B83" s="1" t="n">
        <v>45627</v>
      </c>
      <c r="C83" s="1" t="n">
        <v>46202</v>
      </c>
      <c r="D83" t="inlineStr">
        <is>
          <t>VÄSTMANLANDS LÄN</t>
        </is>
      </c>
      <c r="E83" t="inlineStr">
        <is>
          <t>FAGERSTA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31231-2024</t>
        </is>
      </c>
      <c r="B84" s="1" t="n">
        <v>45503</v>
      </c>
      <c r="C84" s="1" t="n">
        <v>46202</v>
      </c>
      <c r="D84" t="inlineStr">
        <is>
          <t>VÄSTMANLANDS LÄN</t>
        </is>
      </c>
      <c r="E84" t="inlineStr">
        <is>
          <t>FAGERSTA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58310-2024</t>
        </is>
      </c>
      <c r="B85" s="1" t="n">
        <v>45632</v>
      </c>
      <c r="C85" s="1" t="n">
        <v>46202</v>
      </c>
      <c r="D85" t="inlineStr">
        <is>
          <t>VÄSTMANLANDS LÄN</t>
        </is>
      </c>
      <c r="E85" t="inlineStr">
        <is>
          <t>FAGERSTA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12121-2023</t>
        </is>
      </c>
      <c r="B86" s="1" t="n">
        <v>44998</v>
      </c>
      <c r="C86" s="1" t="n">
        <v>46202</v>
      </c>
      <c r="D86" t="inlineStr">
        <is>
          <t>VÄSTMANLANDS LÄN</t>
        </is>
      </c>
      <c r="E86" t="inlineStr">
        <is>
          <t>FAGERSTA</t>
        </is>
      </c>
      <c r="F86" t="inlineStr">
        <is>
          <t>Övriga Aktiebolag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30813-2022</t>
        </is>
      </c>
      <c r="B87" s="1" t="n">
        <v>44764</v>
      </c>
      <c r="C87" s="1" t="n">
        <v>46202</v>
      </c>
      <c r="D87" t="inlineStr">
        <is>
          <t>VÄSTMANLANDS LÄN</t>
        </is>
      </c>
      <c r="E87" t="inlineStr">
        <is>
          <t>FAGERSTA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22117-2025</t>
        </is>
      </c>
      <c r="B88" s="1" t="n">
        <v>45785</v>
      </c>
      <c r="C88" s="1" t="n">
        <v>46202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22118-2025</t>
        </is>
      </c>
      <c r="B89" s="1" t="n">
        <v>45785</v>
      </c>
      <c r="C89" s="1" t="n">
        <v>46202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20909-2024</t>
        </is>
      </c>
      <c r="B90" s="1" t="n">
        <v>45439</v>
      </c>
      <c r="C90" s="1" t="n">
        <v>46202</v>
      </c>
      <c r="D90" t="inlineStr">
        <is>
          <t>VÄSTMANLANDS LÄN</t>
        </is>
      </c>
      <c r="E90" t="inlineStr">
        <is>
          <t>FAGERSTA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56704-2024</t>
        </is>
      </c>
      <c r="B91" s="1" t="n">
        <v>45627</v>
      </c>
      <c r="C91" s="1" t="n">
        <v>46202</v>
      </c>
      <c r="D91" t="inlineStr">
        <is>
          <t>VÄSTMANLANDS LÄN</t>
        </is>
      </c>
      <c r="E91" t="inlineStr">
        <is>
          <t>FAGERSTA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30356-2024</t>
        </is>
      </c>
      <c r="B92" s="1" t="n">
        <v>45491</v>
      </c>
      <c r="C92" s="1" t="n">
        <v>46202</v>
      </c>
      <c r="D92" t="inlineStr">
        <is>
          <t>VÄSTMANLANDS LÄN</t>
        </is>
      </c>
      <c r="E92" t="inlineStr">
        <is>
          <t>FAGERSTA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45390-2023</t>
        </is>
      </c>
      <c r="B93" s="1" t="n">
        <v>45193</v>
      </c>
      <c r="C93" s="1" t="n">
        <v>46202</v>
      </c>
      <c r="D93" t="inlineStr">
        <is>
          <t>VÄSTMANLANDS LÄN</t>
        </is>
      </c>
      <c r="E93" t="inlineStr">
        <is>
          <t>FAGERSTA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58594-2024</t>
        </is>
      </c>
      <c r="B94" s="1" t="n">
        <v>45635</v>
      </c>
      <c r="C94" s="1" t="n">
        <v>46202</v>
      </c>
      <c r="D94" t="inlineStr">
        <is>
          <t>VÄSTMANLANDS LÄN</t>
        </is>
      </c>
      <c r="E94" t="inlineStr">
        <is>
          <t>FAGERSTA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46359-2025</t>
        </is>
      </c>
      <c r="B95" s="1" t="n">
        <v>45925</v>
      </c>
      <c r="C95" s="1" t="n">
        <v>46202</v>
      </c>
      <c r="D95" t="inlineStr">
        <is>
          <t>VÄSTMANLANDS LÄN</t>
        </is>
      </c>
      <c r="E95" t="inlineStr">
        <is>
          <t>FAGERSTA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55794-2025</t>
        </is>
      </c>
      <c r="B96" s="1" t="n">
        <v>45972</v>
      </c>
      <c r="C96" s="1" t="n">
        <v>46202</v>
      </c>
      <c r="D96" t="inlineStr">
        <is>
          <t>VÄSTMANLANDS LÄN</t>
        </is>
      </c>
      <c r="E96" t="inlineStr">
        <is>
          <t>FAGERSTA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39157-2024</t>
        </is>
      </c>
      <c r="B97" s="1" t="n">
        <v>45548</v>
      </c>
      <c r="C97" s="1" t="n">
        <v>46202</v>
      </c>
      <c r="D97" t="inlineStr">
        <is>
          <t>VÄSTMANLANDS LÄN</t>
        </is>
      </c>
      <c r="E97" t="inlineStr">
        <is>
          <t>FAGERSTA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57405-2025</t>
        </is>
      </c>
      <c r="B98" s="1" t="n">
        <v>45980</v>
      </c>
      <c r="C98" s="1" t="n">
        <v>46202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32004-2025</t>
        </is>
      </c>
      <c r="B99" s="1" t="n">
        <v>45835</v>
      </c>
      <c r="C99" s="1" t="n">
        <v>46202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63305-2025</t>
        </is>
      </c>
      <c r="B100" s="1" t="n">
        <v>46010</v>
      </c>
      <c r="C100" s="1" t="n">
        <v>46202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22590-2025</t>
        </is>
      </c>
      <c r="B101" s="1" t="n">
        <v>45789</v>
      </c>
      <c r="C101" s="1" t="n">
        <v>46202</v>
      </c>
      <c r="D101" t="inlineStr">
        <is>
          <t>VÄSTMANLANDS LÄN</t>
        </is>
      </c>
      <c r="E101" t="inlineStr">
        <is>
          <t>FAGERSTA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11660-2023</t>
        </is>
      </c>
      <c r="B102" s="1" t="n">
        <v>44994</v>
      </c>
      <c r="C102" s="1" t="n">
        <v>46202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32249-2022</t>
        </is>
      </c>
      <c r="B103" s="1" t="n">
        <v>44781</v>
      </c>
      <c r="C103" s="1" t="n">
        <v>46202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28249-2022</t>
        </is>
      </c>
      <c r="B104" s="1" t="n">
        <v>44746</v>
      </c>
      <c r="C104" s="1" t="n">
        <v>46202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60374-2025</t>
        </is>
      </c>
      <c r="B105" s="1" t="n">
        <v>45995</v>
      </c>
      <c r="C105" s="1" t="n">
        <v>46202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10520-2026</t>
        </is>
      </c>
      <c r="B106" s="1" t="n">
        <v>46077</v>
      </c>
      <c r="C106" s="1" t="n">
        <v>46202</v>
      </c>
      <c r="D106" t="inlineStr">
        <is>
          <t>VÄSTMANLANDS LÄN</t>
        </is>
      </c>
      <c r="E106" t="inlineStr">
        <is>
          <t>FAGERSTA</t>
        </is>
      </c>
      <c r="F106" t="inlineStr">
        <is>
          <t>Bergvik skog väst AB</t>
        </is>
      </c>
      <c r="G106" t="n">
        <v>19.5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10686-2026</t>
        </is>
      </c>
      <c r="B107" s="1" t="n">
        <v>46078</v>
      </c>
      <c r="C107" s="1" t="n">
        <v>46202</v>
      </c>
      <c r="D107" t="inlineStr">
        <is>
          <t>VÄSTMANLANDS LÄN</t>
        </is>
      </c>
      <c r="E107" t="inlineStr">
        <is>
          <t>FAGERSTA</t>
        </is>
      </c>
      <c r="F107" t="inlineStr">
        <is>
          <t>Bergvik skog väst AB</t>
        </is>
      </c>
      <c r="G107" t="n">
        <v>18.6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10526-2026</t>
        </is>
      </c>
      <c r="B108" s="1" t="n">
        <v>46077</v>
      </c>
      <c r="C108" s="1" t="n">
        <v>46202</v>
      </c>
      <c r="D108" t="inlineStr">
        <is>
          <t>VÄSTMANLANDS LÄN</t>
        </is>
      </c>
      <c r="E108" t="inlineStr">
        <is>
          <t>FAGERSTA</t>
        </is>
      </c>
      <c r="F108" t="inlineStr">
        <is>
          <t>Bergvik skog väst AB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13079-2026</t>
        </is>
      </c>
      <c r="B109" s="1" t="n">
        <v>46093</v>
      </c>
      <c r="C109" s="1" t="n">
        <v>46202</v>
      </c>
      <c r="D109" t="inlineStr">
        <is>
          <t>VÄSTMANLANDS LÄN</t>
        </is>
      </c>
      <c r="E109" t="inlineStr">
        <is>
          <t>FAGERSTA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23646-2026</t>
        </is>
      </c>
      <c r="B110" s="1" t="n">
        <v>46164</v>
      </c>
      <c r="C110" s="1" t="n">
        <v>46202</v>
      </c>
      <c r="D110" t="inlineStr">
        <is>
          <t>VÄSTMANLANDS LÄN</t>
        </is>
      </c>
      <c r="E110" t="inlineStr">
        <is>
          <t>FAGERSTA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17886-2026</t>
        </is>
      </c>
      <c r="B111" s="1" t="n">
        <v>46122</v>
      </c>
      <c r="C111" s="1" t="n">
        <v>46202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17893-2026</t>
        </is>
      </c>
      <c r="B112" s="1" t="n">
        <v>46122</v>
      </c>
      <c r="C112" s="1" t="n">
        <v>46202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18782-2026</t>
        </is>
      </c>
      <c r="B113" s="1" t="n">
        <v>46128</v>
      </c>
      <c r="C113" s="1" t="n">
        <v>46202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18781-2026</t>
        </is>
      </c>
      <c r="B114" s="1" t="n">
        <v>46128</v>
      </c>
      <c r="C114" s="1" t="n">
        <v>46202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18783-2026</t>
        </is>
      </c>
      <c r="B115" s="1" t="n">
        <v>46128</v>
      </c>
      <c r="C115" s="1" t="n">
        <v>46202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19707-2026</t>
        </is>
      </c>
      <c r="B116" s="1" t="n">
        <v>46134</v>
      </c>
      <c r="C116" s="1" t="n">
        <v>46202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19825-2026</t>
        </is>
      </c>
      <c r="B117" s="1" t="n">
        <v>46135</v>
      </c>
      <c r="C117" s="1" t="n">
        <v>46202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19708-2026</t>
        </is>
      </c>
      <c r="B118" s="1" t="n">
        <v>46134</v>
      </c>
      <c r="C118" s="1" t="n">
        <v>46202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26057-2026</t>
        </is>
      </c>
      <c r="B119" s="1" t="n">
        <v>46181</v>
      </c>
      <c r="C119" s="1" t="n">
        <v>46202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29073-2025</t>
        </is>
      </c>
      <c r="B120" s="1" t="n">
        <v>45821</v>
      </c>
      <c r="C120" s="1" t="n">
        <v>46202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20583-2026</t>
        </is>
      </c>
      <c r="B121" s="1" t="n">
        <v>46140</v>
      </c>
      <c r="C121" s="1" t="n">
        <v>46202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13391-2026</t>
        </is>
      </c>
      <c r="B122" s="1" t="n">
        <v>46094</v>
      </c>
      <c r="C122" s="1" t="n">
        <v>46202</v>
      </c>
      <c r="D122" t="inlineStr">
        <is>
          <t>VÄSTMANLANDS LÄN</t>
        </is>
      </c>
      <c r="E122" t="inlineStr">
        <is>
          <t>FAGERSTA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21891-2026</t>
        </is>
      </c>
      <c r="B123" s="1" t="n">
        <v>46150</v>
      </c>
      <c r="C123" s="1" t="n">
        <v>46202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21890-2026</t>
        </is>
      </c>
      <c r="B124" s="1" t="n">
        <v>46150</v>
      </c>
      <c r="C124" s="1" t="n">
        <v>46202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21888-2026</t>
        </is>
      </c>
      <c r="B125" s="1" t="n">
        <v>46150</v>
      </c>
      <c r="C125" s="1" t="n">
        <v>46202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21889-2026</t>
        </is>
      </c>
      <c r="B126" s="1" t="n">
        <v>46150</v>
      </c>
      <c r="C126" s="1" t="n">
        <v>46202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21892-2026</t>
        </is>
      </c>
      <c r="B127" s="1" t="n">
        <v>46150</v>
      </c>
      <c r="C127" s="1" t="n">
        <v>46202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41644-2025</t>
        </is>
      </c>
      <c r="B128" s="1" t="n">
        <v>45902</v>
      </c>
      <c r="C128" s="1" t="n">
        <v>46202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2026-06-29T00:59:48Z</dcterms:created>
  <dcterms:modified xmlns:dcterms="http://purl.org/dc/terms/" xmlns:xsi="http://www.w3.org/2001/XMLSchema-instance" xsi:type="dcterms:W3CDTF">2026-06-29T00:59:48Z</dcterms:modified>
</cp:coreProperties>
</file>