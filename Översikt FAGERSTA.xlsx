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46292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46292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46292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46292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46292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46292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46292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46292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1683-2026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46034</v>
      </c>
      <c r="E10" s="1" t="n">
        <v>46292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29.2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Skogsalm
Talltita</t>
        </is>
      </c>
      <c r="W10">
        <f>HYPERLINK("https://klasma.github.io/Logging_1982/artfynd/A 1683-2026 artfynd.xlsx", "A 1683-2026")</f>
        <v/>
      </c>
      <c r="X10">
        <f>HYPERLINK("https://klasma.github.io/Logging_1982/kartor/A 1683-2026 karta.png", "A 1683-2026")</f>
        <v/>
      </c>
      <c r="Y10">
        <f>HYPERLINK("https://klasma.github.io/Logging_1982/kartor_geotiff/A 1683-2026 georefererad karta.tif", "A 1683-2026")</f>
        <v/>
      </c>
      <c r="AA10">
        <f>HYPERLINK("https://klasma.github.io/Logging_1982/klagomål/A 1683-2026 FSC-klagomål.docx", "A 1683-2026")</f>
        <v/>
      </c>
      <c r="AB10">
        <f>HYPERLINK("https://klasma.github.io/Logging_1982/klagomålsmail/A 1683-2026 FSC-klagomål mail.docx", "A 1683-2026")</f>
        <v/>
      </c>
      <c r="AC10">
        <f>HYPERLINK("https://klasma.github.io/Logging_1982/tillsyn/A 1683-2026 tillsynsbegäran.docx", "A 1683-2026")</f>
        <v/>
      </c>
      <c r="AD10">
        <f>HYPERLINK("https://klasma.github.io/Logging_1982/tillsynsmail/A 1683-2026 tillsynsbegäran mail.docx", "A 1683-2026")</f>
        <v/>
      </c>
      <c r="AE10">
        <f>HYPERLINK("https://klasma.github.io/Logging_1982/fåglar/A 1683-2026 prioriterade fågelarter.docx", "A 1683-2026")</f>
        <v/>
      </c>
    </row>
    <row r="11" ht="15" customHeight="1">
      <c r="A11" t="inlineStr">
        <is>
          <t>A 17889-2026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46292</v>
      </c>
      <c r="F11" t="inlineStr">
        <is>
          <t>VÄSTMANLANDS LÄN</t>
        </is>
      </c>
      <c r="G11" t="inlineStr">
        <is>
          <t>FAGERSTA</t>
        </is>
      </c>
      <c r="H11" t="inlineStr">
        <is>
          <t>Sveaskog</t>
        </is>
      </c>
      <c r="I11" t="n">
        <v>2.7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Garnlav
Tallticka</t>
        </is>
      </c>
      <c r="W11">
        <f>HYPERLINK("https://klasma.github.io/Logging_1982/artfynd/A 17889-2026 artfynd.xlsx", "A 17889-2026")</f>
        <v/>
      </c>
      <c r="X11">
        <f>HYPERLINK("https://klasma.github.io/Logging_1982/kartor/A 17889-2026 karta.png", "A 17889-2026")</f>
        <v/>
      </c>
      <c r="Y11">
        <f>HYPERLINK("https://klasma.github.io/Logging_1982/kartor_geotiff/A 17889-2026 georefererad karta.tif", "A 17889-2026")</f>
        <v/>
      </c>
      <c r="AA11">
        <f>HYPERLINK("https://klasma.github.io/Logging_1982/klagomål/A 17889-2026 FSC-klagomål.docx", "A 17889-2026")</f>
        <v/>
      </c>
      <c r="AB11">
        <f>HYPERLINK("https://klasma.github.io/Logging_1982/klagomålsmail/A 17889-2026 FSC-klagomål mail.docx", "A 17889-2026")</f>
        <v/>
      </c>
      <c r="AC11">
        <f>HYPERLINK("https://klasma.github.io/Logging_1982/tillsyn/A 17889-2026 tillsynsbegäran.docx", "A 17889-2026")</f>
        <v/>
      </c>
      <c r="AD11">
        <f>HYPERLINK("https://klasma.github.io/Logging_1982/tillsynsmail/A 17889-2026 tillsynsbegäran mail.docx", "A 17889-2026")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46292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29532-2022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44753</v>
      </c>
      <c r="E13" s="1" t="n">
        <v>46292</v>
      </c>
      <c r="F13" t="inlineStr">
        <is>
          <t>VÄSTMANLANDS LÄN</t>
        </is>
      </c>
      <c r="G13" t="inlineStr">
        <is>
          <t>FAGERSTA</t>
        </is>
      </c>
      <c r="I13" t="n">
        <v>4.7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Backruta
Hagfingersvamp</t>
        </is>
      </c>
      <c r="W13">
        <f>HYPERLINK("https://klasma.github.io/Logging_1982/artfynd/A 29532-2022 artfynd.xlsx", "A 29532-2022")</f>
        <v/>
      </c>
      <c r="X13">
        <f>HYPERLINK("https://klasma.github.io/Logging_1982/kartor/A 29532-2022 karta.png", "A 29532-2022")</f>
        <v/>
      </c>
      <c r="Y13">
        <f>HYPERLINK("https://klasma.github.io/Logging_1982/kartor_geotiff/A 29532-2022 georefererad karta.tif", "A 29532-2022")</f>
        <v/>
      </c>
      <c r="AA13">
        <f>HYPERLINK("https://klasma.github.io/Logging_1982/klagomål/A 29532-2022 FSC-klagomål.docx", "A 29532-2022")</f>
        <v/>
      </c>
      <c r="AB13">
        <f>HYPERLINK("https://klasma.github.io/Logging_1982/klagomålsmail/A 29532-2022 FSC-klagomål mail.docx", "A 29532-2022")</f>
        <v/>
      </c>
      <c r="AC13">
        <f>HYPERLINK("https://klasma.github.io/Logging_1982/tillsyn/A 29532-2022 tillsynsbegäran.docx", "A 29532-2022")</f>
        <v/>
      </c>
      <c r="AD13">
        <f>HYPERLINK("https://klasma.github.io/Logging_1982/tillsynsmail/A 29532-2022 tillsynsbegäran mail.docx", "A 29532-2022")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46292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46292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46292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46292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46292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46292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46292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46292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46292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46292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46292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46292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46292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46292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46292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46292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46292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46292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46292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46292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46292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46292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46292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46292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46292</v>
      </c>
      <c r="F38" t="inlineStr">
        <is>
          <t>VÄSTMANLANDS LÄN</t>
        </is>
      </c>
      <c r="G38" t="inlineStr">
        <is>
          <t>FAGERSTA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22590-2025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45789</v>
      </c>
      <c r="E39" s="1" t="n">
        <v>46292</v>
      </c>
      <c r="F39" t="inlineStr">
        <is>
          <t>VÄSTMANLANDS LÄN</t>
        </is>
      </c>
      <c r="G39" t="inlineStr">
        <is>
          <t>FAGERSTA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39157-2024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45548</v>
      </c>
      <c r="E40" s="1" t="n">
        <v>46292</v>
      </c>
      <c r="F40" t="inlineStr">
        <is>
          <t>VÄSTMANLANDS LÄN</t>
        </is>
      </c>
      <c r="G40" t="inlineStr">
        <is>
          <t>FAGERSTA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62095-2022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44919</v>
      </c>
      <c r="E41" s="1" t="n">
        <v>46292</v>
      </c>
      <c r="F41" t="inlineStr">
        <is>
          <t>VÄSTMANLANDS LÄN</t>
        </is>
      </c>
      <c r="G41" t="inlineStr">
        <is>
          <t>FAGERSTA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48261-2022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44858</v>
      </c>
      <c r="E42" s="1" t="n">
        <v>46292</v>
      </c>
      <c r="F42" t="inlineStr">
        <is>
          <t>VÄSTMANLANDS LÄN</t>
        </is>
      </c>
      <c r="G42" t="inlineStr">
        <is>
          <t>FAGERSTA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42844-2024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46292</v>
      </c>
      <c r="F43" t="inlineStr">
        <is>
          <t>VÄSTMANLANDS LÄN</t>
        </is>
      </c>
      <c r="G43" t="inlineStr">
        <is>
          <t>FAGERSTA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45442</v>
      </c>
      <c r="E44" s="1" t="n">
        <v>46292</v>
      </c>
      <c r="F44" t="inlineStr">
        <is>
          <t>VÄSTMANLANDS LÄN</t>
        </is>
      </c>
      <c r="G44" t="inlineStr">
        <is>
          <t>FAGERSTA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28249-2022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46292</v>
      </c>
      <c r="F45" t="inlineStr">
        <is>
          <t>VÄSTMANLANDS LÄN</t>
        </is>
      </c>
      <c r="G45" t="inlineStr">
        <is>
          <t>FAGERSTA</t>
        </is>
      </c>
      <c r="H45" t="inlineStr">
        <is>
          <t>Kommuner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11660-2023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46292</v>
      </c>
      <c r="F46" t="inlineStr">
        <is>
          <t>VÄSTMANLANDS LÄN</t>
        </is>
      </c>
      <c r="G46" t="inlineStr">
        <is>
          <t>FAGERSTA</t>
        </is>
      </c>
      <c r="H46" t="inlineStr">
        <is>
          <t>Kommuner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32249-2022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44781</v>
      </c>
      <c r="E47" s="1" t="n">
        <v>46292</v>
      </c>
      <c r="F47" t="inlineStr">
        <is>
          <t>VÄSTMANLANDS LÄN</t>
        </is>
      </c>
      <c r="G47" t="inlineStr">
        <is>
          <t>FAGERSTA</t>
        </is>
      </c>
      <c r="H47" t="inlineStr">
        <is>
          <t>Kommuner</t>
        </is>
      </c>
      <c r="I47" t="n">
        <v>22.9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60374-2025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45995</v>
      </c>
      <c r="E48" s="1" t="n">
        <v>46292</v>
      </c>
      <c r="F48" t="inlineStr">
        <is>
          <t>VÄSTMANLANDS LÄN</t>
        </is>
      </c>
      <c r="G48" t="inlineStr">
        <is>
          <t>FAGERSTA</t>
        </is>
      </c>
      <c r="H48" t="inlineStr">
        <is>
          <t>Kommuner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45925</v>
      </c>
      <c r="E49" s="1" t="n">
        <v>46292</v>
      </c>
      <c r="F49" t="inlineStr">
        <is>
          <t>VÄSTMANLANDS LÄN</t>
        </is>
      </c>
      <c r="G49" t="inlineStr">
        <is>
          <t>FAGERSTA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10526-2026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46077</v>
      </c>
      <c r="E50" s="1" t="n">
        <v>46292</v>
      </c>
      <c r="F50" t="inlineStr">
        <is>
          <t>VÄSTMANLANDS LÄN</t>
        </is>
      </c>
      <c r="G50" t="inlineStr">
        <is>
          <t>FAGERSTA</t>
        </is>
      </c>
      <c r="H50" t="inlineStr">
        <is>
          <t>Bergvik skog väst AB</t>
        </is>
      </c>
      <c r="I50" t="n">
        <v>6.2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10520-2026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46077</v>
      </c>
      <c r="E51" s="1" t="n">
        <v>46292</v>
      </c>
      <c r="F51" t="inlineStr">
        <is>
          <t>VÄSTMANLANDS LÄN</t>
        </is>
      </c>
      <c r="G51" t="inlineStr">
        <is>
          <t>FAGERSTA</t>
        </is>
      </c>
      <c r="H51" t="inlineStr">
        <is>
          <t>Bergvik skog väst AB</t>
        </is>
      </c>
      <c r="I51" t="n">
        <v>19.5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46078</v>
      </c>
      <c r="E52" s="1" t="n">
        <v>46292</v>
      </c>
      <c r="F52" t="inlineStr">
        <is>
          <t>VÄSTMANLANDS LÄN</t>
        </is>
      </c>
      <c r="G52" t="inlineStr">
        <is>
          <t>FAGERSTA</t>
        </is>
      </c>
      <c r="H52" t="inlineStr">
        <is>
          <t>Bergvik skog väst AB</t>
        </is>
      </c>
      <c r="I52" t="n">
        <v>18.6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46292</v>
      </c>
      <c r="F53" t="inlineStr">
        <is>
          <t>VÄSTMANLANDS LÄN</t>
        </is>
      </c>
      <c r="G53" t="inlineStr">
        <is>
          <t>FAGERSTA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26652-2025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45810</v>
      </c>
      <c r="E54" s="1" t="n">
        <v>46292</v>
      </c>
      <c r="F54" t="inlineStr">
        <is>
          <t>VÄSTMANLANDS LÄN</t>
        </is>
      </c>
      <c r="G54" t="inlineStr">
        <is>
          <t>FAGERSTA</t>
        </is>
      </c>
      <c r="H54" t="inlineStr">
        <is>
          <t>Bergvik skog väst AB</t>
        </is>
      </c>
      <c r="I54" t="n">
        <v>22.6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22482-2023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45071</v>
      </c>
      <c r="E55" s="1" t="n">
        <v>46292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22485-2023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45071</v>
      </c>
      <c r="E56" s="1" t="n">
        <v>46292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13079-2026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46093</v>
      </c>
      <c r="E57" s="1" t="n">
        <v>46292</v>
      </c>
      <c r="F57" t="inlineStr">
        <is>
          <t>VÄSTMANLANDS LÄN</t>
        </is>
      </c>
      <c r="G57" t="inlineStr">
        <is>
          <t>FAGERSTA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44998</v>
      </c>
      <c r="E58" s="1" t="n">
        <v>46292</v>
      </c>
      <c r="F58" t="inlineStr">
        <is>
          <t>VÄSTMANLANDS LÄN</t>
        </is>
      </c>
      <c r="G58" t="inlineStr">
        <is>
          <t>FAGERSTA</t>
        </is>
      </c>
      <c r="H58" t="inlineStr">
        <is>
          <t>Övriga Aktiebolag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46122</v>
      </c>
      <c r="E59" s="1" t="n">
        <v>46292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31231-2024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45503</v>
      </c>
      <c r="E60" s="1" t="n">
        <v>46292</v>
      </c>
      <c r="F60" t="inlineStr">
        <is>
          <t>VÄSTMANLANDS LÄN</t>
        </is>
      </c>
      <c r="G60" t="inlineStr">
        <is>
          <t>FAGERSTA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46292</v>
      </c>
      <c r="F61" t="inlineStr">
        <is>
          <t>VÄSTMANLANDS LÄN</t>
        </is>
      </c>
      <c r="G61" t="inlineStr">
        <is>
          <t>FAGERSTA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46292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18781-2026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46292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18783-2026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46128</v>
      </c>
      <c r="E64" s="1" t="n">
        <v>46292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17893-2026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46122</v>
      </c>
      <c r="E65" s="1" t="n">
        <v>46292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6.9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19707-2026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46134</v>
      </c>
      <c r="E66" s="1" t="n">
        <v>46292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13.2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19708-2026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46134</v>
      </c>
      <c r="E67" s="1" t="n">
        <v>46292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19825-2026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46135</v>
      </c>
      <c r="E68" s="1" t="n">
        <v>46292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10820-2025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45722</v>
      </c>
      <c r="E69" s="1" t="n">
        <v>46292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11.5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7380-2025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45705</v>
      </c>
      <c r="E70" s="1" t="n">
        <v>46292</v>
      </c>
      <c r="F70" t="inlineStr">
        <is>
          <t>VÄSTMANLANDS LÄN</t>
        </is>
      </c>
      <c r="G70" t="inlineStr">
        <is>
          <t>FAGERSTA</t>
        </is>
      </c>
      <c r="H70" t="inlineStr">
        <is>
          <t>Bergvik skog väst AB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20583-2026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46140</v>
      </c>
      <c r="E71" s="1" t="n">
        <v>46292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26509-2022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46292</v>
      </c>
      <c r="F72" t="inlineStr">
        <is>
          <t>VÄSTMANLANDS LÄN</t>
        </is>
      </c>
      <c r="G72" t="inlineStr">
        <is>
          <t>FAGERSTA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63305-2025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46010</v>
      </c>
      <c r="E73" s="1" t="n">
        <v>46292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15812-2025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46292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46292</v>
      </c>
      <c r="F75" t="inlineStr">
        <is>
          <t>VÄSTMANLANDS LÄN</t>
        </is>
      </c>
      <c r="G75" t="inlineStr">
        <is>
          <t>FAGERSTA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29073-2025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45821</v>
      </c>
      <c r="E76" s="1" t="n">
        <v>46292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13391-2026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46094</v>
      </c>
      <c r="E77" s="1" t="n">
        <v>46292</v>
      </c>
      <c r="F77" t="inlineStr">
        <is>
          <t>VÄSTMANLANDS LÄN</t>
        </is>
      </c>
      <c r="G77" t="inlineStr">
        <is>
          <t>FAGERSTA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45071</v>
      </c>
      <c r="E78" s="1" t="n">
        <v>46292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46150</v>
      </c>
      <c r="E79" s="1" t="n">
        <v>46292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21888-2026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46150</v>
      </c>
      <c r="E80" s="1" t="n">
        <v>46292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21889-2026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46292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21892-2026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46150</v>
      </c>
      <c r="E82" s="1" t="n">
        <v>46292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21891-2026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46292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11.8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41644-2025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45902</v>
      </c>
      <c r="E84" s="1" t="n">
        <v>46292</v>
      </c>
      <c r="F84" t="inlineStr">
        <is>
          <t>VÄSTMANLANDS LÄN</t>
        </is>
      </c>
      <c r="G84" t="inlineStr">
        <is>
          <t>FAGERSTA</t>
        </is>
      </c>
      <c r="H84" t="inlineStr">
        <is>
          <t>Kommuner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45236</v>
      </c>
      <c r="E85" s="1" t="n">
        <v>46292</v>
      </c>
      <c r="F85" t="inlineStr">
        <is>
          <t>VÄSTMANLANDS LÄN</t>
        </is>
      </c>
      <c r="G85" t="inlineStr">
        <is>
          <t>FAGERSTA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33238-2025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45840</v>
      </c>
      <c r="E86" s="1" t="n">
        <v>46292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33232-2025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45840</v>
      </c>
      <c r="E87" s="1" t="n">
        <v>46292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33236-2025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45840</v>
      </c>
      <c r="E88" s="1" t="n">
        <v>46292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22323-2024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46292</v>
      </c>
      <c r="F89" t="inlineStr">
        <is>
          <t>VÄSTMANLANDS LÄN</t>
        </is>
      </c>
      <c r="G89" t="inlineStr">
        <is>
          <t>FAGERSTA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34374-2025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45846</v>
      </c>
      <c r="E90" s="1" t="n">
        <v>46292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23646-2026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46164</v>
      </c>
      <c r="E91" s="1" t="n">
        <v>46292</v>
      </c>
      <c r="F91" t="inlineStr">
        <is>
          <t>VÄSTMANLANDS LÄN</t>
        </is>
      </c>
      <c r="G91" t="inlineStr">
        <is>
          <t>FAGERSTA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45819</v>
      </c>
      <c r="E92" s="1" t="n">
        <v>46292</v>
      </c>
      <c r="F92" t="inlineStr">
        <is>
          <t>VÄSTMANLANDS LÄN</t>
        </is>
      </c>
      <c r="G92" t="inlineStr">
        <is>
          <t>FAGERSTA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46181</v>
      </c>
      <c r="E93" s="1" t="n">
        <v>46292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44481</v>
      </c>
      <c r="E94" s="1" t="n">
        <v>46292</v>
      </c>
      <c r="F94" t="inlineStr">
        <is>
          <t>VÄSTMANLANDS LÄN</t>
        </is>
      </c>
      <c r="G94" t="inlineStr">
        <is>
          <t>FAGERSTA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33007-2023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45125</v>
      </c>
      <c r="E95" s="1" t="n">
        <v>46292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56694-2024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45627</v>
      </c>
      <c r="E96" s="1" t="n">
        <v>46292</v>
      </c>
      <c r="F96" t="inlineStr">
        <is>
          <t>VÄSTMANLANDS LÄN</t>
        </is>
      </c>
      <c r="G96" t="inlineStr">
        <is>
          <t>FAGERSTA</t>
        </is>
      </c>
      <c r="I96" t="n">
        <v>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32004-2025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45835</v>
      </c>
      <c r="E97" s="1" t="n">
        <v>46292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19888-2025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45771</v>
      </c>
      <c r="E98" s="1" t="n">
        <v>46292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16.8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45160</v>
      </c>
      <c r="E99" s="1" t="n">
        <v>46292</v>
      </c>
      <c r="F99" t="inlineStr">
        <is>
          <t>VÄSTMANLANDS LÄN</t>
        </is>
      </c>
      <c r="G99" t="inlineStr">
        <is>
          <t>FAGERSTA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45635</v>
      </c>
      <c r="E100" s="1" t="n">
        <v>46292</v>
      </c>
      <c r="F100" t="inlineStr">
        <is>
          <t>VÄSTMANLANDS LÄN</t>
        </is>
      </c>
      <c r="G100" t="inlineStr">
        <is>
          <t>FAGERSTA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19156-2025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45769</v>
      </c>
      <c r="E101" s="1" t="n">
        <v>46292</v>
      </c>
      <c r="F101" t="inlineStr">
        <is>
          <t>VÄSTMANLANDS LÄN</t>
        </is>
      </c>
      <c r="G101" t="inlineStr">
        <is>
          <t>FAGERSTA</t>
        </is>
      </c>
      <c r="H101" t="inlineStr">
        <is>
          <t>Bergvik skog väst AB</t>
        </is>
      </c>
      <c r="I101" t="n">
        <v>10.1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13697-2025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45737</v>
      </c>
      <c r="E102" s="1" t="n">
        <v>46292</v>
      </c>
      <c r="F102" t="inlineStr">
        <is>
          <t>VÄSTMANLANDS LÄN</t>
        </is>
      </c>
      <c r="G102" t="inlineStr">
        <is>
          <t>FAGERSTA</t>
        </is>
      </c>
      <c r="H102" t="inlineStr">
        <is>
          <t>Bergvik skog väst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34766-2026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46258</v>
      </c>
      <c r="E103" s="1" t="n">
        <v>46292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31014-2026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46213</v>
      </c>
      <c r="E104" s="1" t="n">
        <v>46292</v>
      </c>
      <c r="F104" t="inlineStr">
        <is>
          <t>VÄSTMANLANDS LÄN</t>
        </is>
      </c>
      <c r="G104" t="inlineStr">
        <is>
          <t>FAGERSTA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45128</v>
      </c>
      <c r="E105" s="1" t="n">
        <v>46292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45390-2023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45193</v>
      </c>
      <c r="E106" s="1" t="n">
        <v>46292</v>
      </c>
      <c r="F106" t="inlineStr">
        <is>
          <t>VÄSTMANLANDS LÄN</t>
        </is>
      </c>
      <c r="G106" t="inlineStr">
        <is>
          <t>FAGERSTA</t>
        </is>
      </c>
      <c r="I106" t="n">
        <v>8.4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31482-2026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46223</v>
      </c>
      <c r="E107" s="1" t="n">
        <v>46292</v>
      </c>
      <c r="F107" t="inlineStr">
        <is>
          <t>VÄSTMANLANDS LÄN</t>
        </is>
      </c>
      <c r="G107" t="inlineStr">
        <is>
          <t>FAGERSTA</t>
        </is>
      </c>
      <c r="H107" t="inlineStr">
        <is>
          <t>Övriga Aktiebolag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36365-2026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46268</v>
      </c>
      <c r="E108" s="1" t="n">
        <v>46292</v>
      </c>
      <c r="F108" t="inlineStr">
        <is>
          <t>VÄSTMANLANDS LÄN</t>
        </is>
      </c>
      <c r="G108" t="inlineStr">
        <is>
          <t>FAGERSTA</t>
        </is>
      </c>
      <c r="H108" t="inlineStr">
        <is>
          <t>Kommuner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37235-2026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46274</v>
      </c>
      <c r="E109" s="1" t="n">
        <v>46292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37231-2026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46274</v>
      </c>
      <c r="E110" s="1" t="n">
        <v>46292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37234-2026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46274</v>
      </c>
      <c r="E111" s="1" t="n">
        <v>46292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37228-2026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46274</v>
      </c>
      <c r="E112" s="1" t="n">
        <v>46292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46292</v>
      </c>
      <c r="F113" t="inlineStr">
        <is>
          <t>VÄSTMANLANDS LÄN</t>
        </is>
      </c>
      <c r="G113" t="inlineStr">
        <is>
          <t>FAGERSTA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45274</v>
      </c>
      <c r="E114" s="1" t="n">
        <v>46292</v>
      </c>
      <c r="F114" t="inlineStr">
        <is>
          <t>VÄSTMANLANDS LÄN</t>
        </is>
      </c>
      <c r="G114" t="inlineStr">
        <is>
          <t>FAGERSTA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32433-2026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46239</v>
      </c>
      <c r="E115" s="1" t="n">
        <v>46292</v>
      </c>
      <c r="F115" t="inlineStr">
        <is>
          <t>VÄSTMANLANDS LÄN</t>
        </is>
      </c>
      <c r="G115" t="inlineStr">
        <is>
          <t>FAGERSTA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38973-2026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46286</v>
      </c>
      <c r="E116" s="1" t="n">
        <v>46292</v>
      </c>
      <c r="F116" t="inlineStr">
        <is>
          <t>VÄSTMANLANDS LÄN</t>
        </is>
      </c>
      <c r="G116" t="inlineStr">
        <is>
          <t>FAGERSTA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44953</v>
      </c>
      <c r="E117" s="1" t="n">
        <v>46292</v>
      </c>
      <c r="F117" t="inlineStr">
        <is>
          <t>VÄSTMANLANDS LÄN</t>
        </is>
      </c>
      <c r="G117" t="inlineStr">
        <is>
          <t>FAGERSTA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39234-2026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46287</v>
      </c>
      <c r="E118" s="1" t="n">
        <v>46292</v>
      </c>
      <c r="F118" t="inlineStr">
        <is>
          <t>VÄSTMANLANDS LÄN</t>
        </is>
      </c>
      <c r="G118" t="inlineStr">
        <is>
          <t>FAGERSTA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46292</v>
      </c>
      <c r="F119" t="inlineStr">
        <is>
          <t>VÄSTMANLANDS LÄN</t>
        </is>
      </c>
      <c r="G119" t="inlineStr">
        <is>
          <t>FAGERSTA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33191-2026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46246</v>
      </c>
      <c r="E120" s="1" t="n">
        <v>46292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33193-2026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46246</v>
      </c>
      <c r="E121" s="1" t="n">
        <v>46292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46246</v>
      </c>
      <c r="E122" s="1" t="n">
        <v>46292</v>
      </c>
      <c r="F122" t="inlineStr">
        <is>
          <t>VÄSTMANLANDS LÄN</t>
        </is>
      </c>
      <c r="G122" t="inlineStr">
        <is>
          <t>FAGERSTA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46289</v>
      </c>
      <c r="E123" s="1" t="n">
        <v>46292</v>
      </c>
      <c r="F123" t="inlineStr">
        <is>
          <t>VÄSTMANLANDS LÄN</t>
        </is>
      </c>
      <c r="G123" t="inlineStr">
        <is>
          <t>FAGERSTA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45627</v>
      </c>
      <c r="E124" s="1" t="n">
        <v>46292</v>
      </c>
      <c r="F124" t="inlineStr">
        <is>
          <t>VÄSTMANLANDS LÄN</t>
        </is>
      </c>
      <c r="G124" t="inlineStr">
        <is>
          <t>FAGERSTA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46292</v>
      </c>
      <c r="F125" t="inlineStr">
        <is>
          <t>VÄSTMANLANDS LÄN</t>
        </is>
      </c>
      <c r="G125" t="inlineStr">
        <is>
          <t>FAGERSTA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45762</v>
      </c>
      <c r="E126" s="1" t="n">
        <v>46292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19213-2025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45769</v>
      </c>
      <c r="E127" s="1" t="n">
        <v>46292</v>
      </c>
      <c r="F127" t="inlineStr">
        <is>
          <t>VÄSTMANLANDS LÄN</t>
        </is>
      </c>
      <c r="G127" t="inlineStr">
        <is>
          <t>FAGERSTA</t>
        </is>
      </c>
      <c r="H127" t="inlineStr">
        <is>
          <t>Övriga Aktiebolag</t>
        </is>
      </c>
      <c r="I127" t="n">
        <v>14.6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45769</v>
      </c>
      <c r="E128" s="1" t="n">
        <v>46292</v>
      </c>
      <c r="F128" t="inlineStr">
        <is>
          <t>VÄSTMANLANDS LÄN</t>
        </is>
      </c>
      <c r="G128" t="inlineStr">
        <is>
          <t>FAGERSTA</t>
        </is>
      </c>
      <c r="I128" t="n">
        <v>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45632</v>
      </c>
      <c r="E129" s="1" t="n">
        <v>46292</v>
      </c>
      <c r="F129" t="inlineStr">
        <is>
          <t>VÄSTMANLANDS LÄN</t>
        </is>
      </c>
      <c r="G129" t="inlineStr">
        <is>
          <t>FAGERSTA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30813-2022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44764</v>
      </c>
      <c r="E130" s="1" t="n">
        <v>46292</v>
      </c>
      <c r="F130" t="inlineStr">
        <is>
          <t>VÄSTMANLANDS LÄN</t>
        </is>
      </c>
      <c r="G130" t="inlineStr">
        <is>
          <t>FAGERSTA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46292</v>
      </c>
      <c r="F131" t="inlineStr">
        <is>
          <t>VÄSTMANLANDS LÄN</t>
        </is>
      </c>
      <c r="G131" t="inlineStr">
        <is>
          <t>FAGERSTA</t>
        </is>
      </c>
      <c r="H131" t="inlineStr">
        <is>
          <t>Övriga Aktiebolag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45785</v>
      </c>
      <c r="E132" s="1" t="n">
        <v>46292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18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22117-2025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46292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56704-2024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45627</v>
      </c>
      <c r="E134" s="1" t="n">
        <v>46292</v>
      </c>
      <c r="F134" t="inlineStr">
        <is>
          <t>VÄSTMANLANDS LÄN</t>
        </is>
      </c>
      <c r="G134" t="inlineStr">
        <is>
          <t>FAGERSTA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58594-2024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45635</v>
      </c>
      <c r="E135" s="1" t="n">
        <v>46292</v>
      </c>
      <c r="F135" t="inlineStr">
        <is>
          <t>VÄSTMANLANDS LÄN</t>
        </is>
      </c>
      <c r="G135" t="inlineStr">
        <is>
          <t>FAGERSTA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46292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46292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46292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46292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46292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46292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46292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2213-2026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46258</v>
      </c>
      <c r="E143" s="1" t="n">
        <v>46292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2358-2026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46274</v>
      </c>
      <c r="E144" s="1" t="n">
        <v>46292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2026-09-27T01:59:22Z</dcterms:created>
  <dcterms:modified xmlns:dcterms="http://purl.org/dc/terms/" xmlns:xsi="http://www.w3.org/2001/XMLSchema-instance" xsi:type="dcterms:W3CDTF">2026-09-27T01:59:23Z</dcterms:modified>
</cp:coreProperties>
</file>