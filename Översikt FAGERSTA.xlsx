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46296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46296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46296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46296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46296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46296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46296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46296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44971</v>
      </c>
      <c r="E10" s="1" t="n">
        <v>46296</v>
      </c>
      <c r="F10" t="inlineStr">
        <is>
          <t>VÄSTMANLANDS LÄN</t>
        </is>
      </c>
      <c r="G10" t="inlineStr">
        <is>
          <t>FAGERSTA</t>
        </is>
      </c>
      <c r="I10" t="n">
        <v>3.5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Bolmört
Tibast</t>
        </is>
      </c>
      <c r="W10">
        <f>HYPERLINK("https://klasma.github.io/Logging_1982/artfynd/A 7385-2023 artfynd.xlsx", "A 7385-2023")</f>
        <v/>
      </c>
      <c r="X10">
        <f>HYPERLINK("https://klasma.github.io/Logging_1982/kartor/A 7385-2023 karta.png", "A 7385-2023")</f>
        <v/>
      </c>
      <c r="Y10">
        <f>HYPERLINK("https://klasma.github.io/Logging_1982/kartor_geotiff/A 7385-2023 georefererad karta.tif", "A 7385-2023")</f>
        <v/>
      </c>
      <c r="AA10">
        <f>HYPERLINK("https://klasma.github.io/Logging_1982/klagomål/A 7385-2023 FSC-klagomål.docx", "A 7385-2023")</f>
        <v/>
      </c>
      <c r="AB10">
        <f>HYPERLINK("https://klasma.github.io/Logging_1982/klagomålsmail/A 7385-2023 FSC-klagomål mail.docx", "A 7385-2023")</f>
        <v/>
      </c>
      <c r="AC10">
        <f>HYPERLINK("https://klasma.github.io/Logging_1982/tillsyn/A 7385-2023 tillsynsbegäran.docx", "A 7385-2023")</f>
        <v/>
      </c>
      <c r="AD10">
        <f>HYPERLINK("https://klasma.github.io/Logging_1982/tillsynsmail/A 7385-2023 tillsynsbegäran mail.docx", "A 7385-2023")</f>
        <v/>
      </c>
    </row>
    <row r="11" ht="15" customHeight="1">
      <c r="A11" t="inlineStr">
        <is>
          <t>A 9956-2022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44621</v>
      </c>
      <c r="E11" s="1" t="n">
        <v>46296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Ögonpyrola
Fläcknycklar</t>
        </is>
      </c>
      <c r="W11">
        <f>HYPERLINK("https://klasma.github.io/Logging_1982/artfynd/A 9956-2022 artfynd.xlsx", "A 9956-2022")</f>
        <v/>
      </c>
      <c r="X11">
        <f>HYPERLINK("https://klasma.github.io/Logging_1982/kartor/A 9956-2022 karta.png", "A 9956-2022")</f>
        <v/>
      </c>
      <c r="Y11">
        <f>HYPERLINK("https://klasma.github.io/Logging_1982/kartor_geotiff/A 9956-2022 georefererad karta.tif", "A 9956-2022")</f>
        <v/>
      </c>
      <c r="AA11">
        <f>HYPERLINK("https://klasma.github.io/Logging_1982/klagomål/A 9956-2022 FSC-klagomål.docx", "A 9956-2022")</f>
        <v/>
      </c>
      <c r="AB11">
        <f>HYPERLINK("https://klasma.github.io/Logging_1982/klagomålsmail/A 9956-2022 FSC-klagomål mail.docx", "A 9956-2022")</f>
        <v/>
      </c>
      <c r="AC11">
        <f>HYPERLINK("https://klasma.github.io/Logging_1982/tillsyn/A 9956-2022 tillsynsbegäran.docx", "A 9956-2022")</f>
        <v/>
      </c>
      <c r="AD11">
        <f>HYPERLINK("https://klasma.github.io/Logging_1982/tillsynsmail/A 9956-2022 tillsynsbegäran mail.docx", "A 9956-2022")</f>
        <v/>
      </c>
    </row>
    <row r="12" ht="15" customHeight="1">
      <c r="A12" t="inlineStr">
        <is>
          <t>A 29532-2022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44753</v>
      </c>
      <c r="E12" s="1" t="n">
        <v>46296</v>
      </c>
      <c r="F12" t="inlineStr">
        <is>
          <t>VÄSTMANLANDS LÄN</t>
        </is>
      </c>
      <c r="G12" t="inlineStr">
        <is>
          <t>FAGERSTA</t>
        </is>
      </c>
      <c r="I12" t="n">
        <v>4.7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Backruta
Hagfingersvamp</t>
        </is>
      </c>
      <c r="W12">
        <f>HYPERLINK("https://klasma.github.io/Logging_1982/artfynd/A 29532-2022 artfynd.xlsx", "A 29532-2022")</f>
        <v/>
      </c>
      <c r="X12">
        <f>HYPERLINK("https://klasma.github.io/Logging_1982/kartor/A 29532-2022 karta.png", "A 29532-2022")</f>
        <v/>
      </c>
      <c r="Y12">
        <f>HYPERLINK("https://klasma.github.io/Logging_1982/kartor_geotiff/A 29532-2022 georefererad karta.tif", "A 29532-2022")</f>
        <v/>
      </c>
      <c r="AA12">
        <f>HYPERLINK("https://klasma.github.io/Logging_1982/klagomål/A 29532-2022 FSC-klagomål.docx", "A 29532-2022")</f>
        <v/>
      </c>
      <c r="AB12">
        <f>HYPERLINK("https://klasma.github.io/Logging_1982/klagomålsmail/A 29532-2022 FSC-klagomål mail.docx", "A 29532-2022")</f>
        <v/>
      </c>
      <c r="AC12">
        <f>HYPERLINK("https://klasma.github.io/Logging_1982/tillsyn/A 29532-2022 tillsynsbegäran.docx", "A 29532-2022")</f>
        <v/>
      </c>
      <c r="AD12">
        <f>HYPERLINK("https://klasma.github.io/Logging_1982/tillsynsmail/A 29532-2022 tillsynsbegäran mail.docx", "A 29532-2022")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46296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46296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Garnlav
Tallticka</t>
        </is>
      </c>
      <c r="W14">
        <f>HYPERLINK("https://klasma.github.io/Logging_1982/artfynd/A 17889-2026 artfynd.xlsx", "A 17889-2026")</f>
        <v/>
      </c>
      <c r="X14">
        <f>HYPERLINK("https://klasma.github.io/Logging_1982/kartor/A 17889-2026 karta.png", "A 17889-2026")</f>
        <v/>
      </c>
      <c r="Y14">
        <f>HYPERLINK("https://klasma.github.io/Logging_1982/kartor_geotiff/A 17889-2026 georefererad karta.tif", "A 17889-2026")</f>
        <v/>
      </c>
      <c r="AA14">
        <f>HYPERLINK("https://klasma.github.io/Logging_1982/klagomål/A 17889-2026 FSC-klagomål.docx", "A 17889-2026")</f>
        <v/>
      </c>
      <c r="AB14">
        <f>HYPERLINK("https://klasma.github.io/Logging_1982/klagomålsmail/A 17889-2026 FSC-klagomål mail.docx", "A 17889-2026")</f>
        <v/>
      </c>
      <c r="AC14">
        <f>HYPERLINK("https://klasma.github.io/Logging_1982/tillsyn/A 17889-2026 tillsynsbegäran.docx", "A 17889-2026")</f>
        <v/>
      </c>
      <c r="AD14">
        <f>HYPERLINK("https://klasma.github.io/Logging_1982/tillsynsmail/A 17889-2026 tillsynsbegäran mail.docx", "A 17889-2026")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46296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46296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46296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46296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3553-2026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46296</v>
      </c>
      <c r="F19" t="inlineStr">
        <is>
          <t>VÄSTMANLANDS LÄN</t>
        </is>
      </c>
      <c r="G19" t="inlineStr">
        <is>
          <t>FAGERSTA</t>
        </is>
      </c>
      <c r="I19" t="n">
        <v>2.5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HYPERLINK("https://klasma.github.io/Logging_1982/artfynd/A 3553-2026 artfynd.xlsx", "A 3553-2026")</f>
        <v/>
      </c>
      <c r="X19">
        <f>HYPERLINK("https://klasma.github.io/Logging_1982/kartor/A 3553-2026 karta.png", "A 3553-2026")</f>
        <v/>
      </c>
      <c r="Y19">
        <f>HYPERLINK("https://klasma.github.io/Logging_1982/kartor_geotiff/A 3553-2026 georefererad karta.tif", "A 3553-2026")</f>
        <v/>
      </c>
      <c r="AA19">
        <f>HYPERLINK("https://klasma.github.io/Logging_1982/klagomål/A 3553-2026 FSC-klagomål.docx", "A 3553-2026")</f>
        <v/>
      </c>
      <c r="AB19">
        <f>HYPERLINK("https://klasma.github.io/Logging_1982/klagomålsmail/A 3553-2026 FSC-klagomål mail.docx", "A 3553-2026")</f>
        <v/>
      </c>
      <c r="AC19">
        <f>HYPERLINK("https://klasma.github.io/Logging_1982/tillsyn/A 3553-2026 tillsynsbegäran.docx", "A 3553-2026")</f>
        <v/>
      </c>
      <c r="AD19">
        <f>HYPERLINK("https://klasma.github.io/Logging_1982/tillsynsmail/A 3553-2026 tillsynsbegäran mail.docx", "A 3553-2026")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46296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46296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46296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46296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46296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46296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46296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46296</v>
      </c>
      <c r="F27" t="inlineStr">
        <is>
          <t>VÄSTMANLANDS LÄN</t>
        </is>
      </c>
      <c r="G27" t="inlineStr">
        <is>
          <t>FAGERSTA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46296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46296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30868-2022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44767</v>
      </c>
      <c r="E30" s="1" t="n">
        <v>46296</v>
      </c>
      <c r="F30" t="inlineStr">
        <is>
          <t>VÄSTMANLANDS LÄN</t>
        </is>
      </c>
      <c r="G30" t="inlineStr">
        <is>
          <t>FAGERSTA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46296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46296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46296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46296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46296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46296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46296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19213-2025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46296</v>
      </c>
      <c r="F38" t="inlineStr">
        <is>
          <t>VÄSTMANLANDS LÄN</t>
        </is>
      </c>
      <c r="G38" t="inlineStr">
        <is>
          <t>FAGERSTA</t>
        </is>
      </c>
      <c r="H38" t="inlineStr">
        <is>
          <t>Övriga Aktiebolag</t>
        </is>
      </c>
      <c r="I38" t="n">
        <v>14.6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7380-2025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45705</v>
      </c>
      <c r="E39" s="1" t="n">
        <v>46296</v>
      </c>
      <c r="F39" t="inlineStr">
        <is>
          <t>VÄSTMANLANDS LÄN</t>
        </is>
      </c>
      <c r="G39" t="inlineStr">
        <is>
          <t>FAGERSTA</t>
        </is>
      </c>
      <c r="H39" t="inlineStr">
        <is>
          <t>Bergvik skog väst AB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42844-2024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45566</v>
      </c>
      <c r="E40" s="1" t="n">
        <v>46296</v>
      </c>
      <c r="F40" t="inlineStr">
        <is>
          <t>VÄSTMANLANDS LÄN</t>
        </is>
      </c>
      <c r="G40" t="inlineStr">
        <is>
          <t>FAGERSTA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45125</v>
      </c>
      <c r="E41" s="1" t="n">
        <v>46296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10820-2025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45722</v>
      </c>
      <c r="E42" s="1" t="n">
        <v>46296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56739-2021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44481</v>
      </c>
      <c r="E43" s="1" t="n">
        <v>46296</v>
      </c>
      <c r="F43" t="inlineStr">
        <is>
          <t>VÄSTMANLANDS LÄN</t>
        </is>
      </c>
      <c r="G43" t="inlineStr">
        <is>
          <t>FAGERSTA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48261-2022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46296</v>
      </c>
      <c r="F44" t="inlineStr">
        <is>
          <t>VÄSTMANLANDS LÄN</t>
        </is>
      </c>
      <c r="G44" t="inlineStr">
        <is>
          <t>FAGERSTA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13697-2025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45737</v>
      </c>
      <c r="E45" s="1" t="n">
        <v>46296</v>
      </c>
      <c r="F45" t="inlineStr">
        <is>
          <t>VÄSTMANLANDS LÄN</t>
        </is>
      </c>
      <c r="G45" t="inlineStr">
        <is>
          <t>FAGERSTA</t>
        </is>
      </c>
      <c r="H45" t="inlineStr">
        <is>
          <t>Bergvik skog väst AB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58464-2024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45635</v>
      </c>
      <c r="E46" s="1" t="n">
        <v>46296</v>
      </c>
      <c r="F46" t="inlineStr">
        <is>
          <t>VÄSTMANLANDS LÄN</t>
        </is>
      </c>
      <c r="G46" t="inlineStr">
        <is>
          <t>FAGERSTA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44919</v>
      </c>
      <c r="E47" s="1" t="n">
        <v>46296</v>
      </c>
      <c r="F47" t="inlineStr">
        <is>
          <t>VÄSTMANLANDS LÄN</t>
        </is>
      </c>
      <c r="G47" t="inlineStr">
        <is>
          <t>FAGERSTA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45769</v>
      </c>
      <c r="E48" s="1" t="n">
        <v>46296</v>
      </c>
      <c r="F48" t="inlineStr">
        <is>
          <t>VÄSTMANLANDS LÄN</t>
        </is>
      </c>
      <c r="G48" t="inlineStr">
        <is>
          <t>FAGERSTA</t>
        </is>
      </c>
      <c r="H48" t="inlineStr">
        <is>
          <t>Bergvik skog väst AB</t>
        </is>
      </c>
      <c r="I48" t="n">
        <v>10.1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56694-2024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45627</v>
      </c>
      <c r="E49" s="1" t="n">
        <v>46296</v>
      </c>
      <c r="F49" t="inlineStr">
        <is>
          <t>VÄSTMANLANDS LÄN</t>
        </is>
      </c>
      <c r="G49" t="inlineStr">
        <is>
          <t>FAGERSTA</t>
        </is>
      </c>
      <c r="I49" t="n">
        <v>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22482-2023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45071</v>
      </c>
      <c r="E50" s="1" t="n">
        <v>46296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22485-2023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45071</v>
      </c>
      <c r="E51" s="1" t="n">
        <v>46296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45769</v>
      </c>
      <c r="E52" s="1" t="n">
        <v>46296</v>
      </c>
      <c r="F52" t="inlineStr">
        <is>
          <t>VÄSTMANLANDS LÄN</t>
        </is>
      </c>
      <c r="G52" t="inlineStr">
        <is>
          <t>FAGERSTA</t>
        </is>
      </c>
      <c r="I52" t="n">
        <v>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46296</v>
      </c>
      <c r="F53" t="inlineStr">
        <is>
          <t>VÄSTMANLANDS LÄN</t>
        </is>
      </c>
      <c r="G53" t="inlineStr">
        <is>
          <t>FAGERSTA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21679-2024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45442</v>
      </c>
      <c r="E54" s="1" t="n">
        <v>46296</v>
      </c>
      <c r="F54" t="inlineStr">
        <is>
          <t>VÄSTMANLANDS LÄN</t>
        </is>
      </c>
      <c r="G54" t="inlineStr">
        <is>
          <t>FAGERSTA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44953</v>
      </c>
      <c r="E55" s="1" t="n">
        <v>46296</v>
      </c>
      <c r="F55" t="inlineStr">
        <is>
          <t>VÄSTMANLANDS LÄN</t>
        </is>
      </c>
      <c r="G55" t="inlineStr">
        <is>
          <t>FAGERSTA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19888-2025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45771</v>
      </c>
      <c r="E56" s="1" t="n">
        <v>46296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16.8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45762</v>
      </c>
      <c r="E57" s="1" t="n">
        <v>46296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30630-2023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46296</v>
      </c>
      <c r="F58" t="inlineStr">
        <is>
          <t>VÄSTMANLANDS LÄN</t>
        </is>
      </c>
      <c r="G58" t="inlineStr">
        <is>
          <t>FAGERSTA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44998</v>
      </c>
      <c r="E59" s="1" t="n">
        <v>46296</v>
      </c>
      <c r="F59" t="inlineStr">
        <is>
          <t>VÄSTMANLANDS LÄN</t>
        </is>
      </c>
      <c r="G59" t="inlineStr">
        <is>
          <t>FAGERSTA</t>
        </is>
      </c>
      <c r="H59" t="inlineStr">
        <is>
          <t>Övriga Aktiebolag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45632</v>
      </c>
      <c r="E60" s="1" t="n">
        <v>46296</v>
      </c>
      <c r="F60" t="inlineStr">
        <is>
          <t>VÄSTMANLANDS LÄN</t>
        </is>
      </c>
      <c r="G60" t="inlineStr">
        <is>
          <t>FAGERSTA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12121-2023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44998</v>
      </c>
      <c r="E61" s="1" t="n">
        <v>46296</v>
      </c>
      <c r="F61" t="inlineStr">
        <is>
          <t>VÄSTMANLANDS LÄN</t>
        </is>
      </c>
      <c r="G61" t="inlineStr">
        <is>
          <t>FAGERSTA</t>
        </is>
      </c>
      <c r="H61" t="inlineStr">
        <is>
          <t>Övriga Aktiebolag</t>
        </is>
      </c>
      <c r="I61" t="n">
        <v>6.9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37955-2023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45160</v>
      </c>
      <c r="E62" s="1" t="n">
        <v>46296</v>
      </c>
      <c r="F62" t="inlineStr">
        <is>
          <t>VÄSTMANLANDS LÄN</t>
        </is>
      </c>
      <c r="G62" t="inlineStr">
        <is>
          <t>FAGERSTA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30813-2022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44764</v>
      </c>
      <c r="E63" s="1" t="n">
        <v>46296</v>
      </c>
      <c r="F63" t="inlineStr">
        <is>
          <t>VÄSTMANLANDS LÄN</t>
        </is>
      </c>
      <c r="G63" t="inlineStr">
        <is>
          <t>FAGERSTA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22117-2025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45785</v>
      </c>
      <c r="E64" s="1" t="n">
        <v>46296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22118-2025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45785</v>
      </c>
      <c r="E65" s="1" t="n">
        <v>46296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18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56704-2024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45627</v>
      </c>
      <c r="E66" s="1" t="n">
        <v>46296</v>
      </c>
      <c r="F66" t="inlineStr">
        <is>
          <t>VÄSTMANLANDS LÄN</t>
        </is>
      </c>
      <c r="G66" t="inlineStr">
        <is>
          <t>FAGERSTA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51586-2023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45222</v>
      </c>
      <c r="E67" s="1" t="n">
        <v>46296</v>
      </c>
      <c r="F67" t="inlineStr">
        <is>
          <t>VÄSTMANLANDS LÄN</t>
        </is>
      </c>
      <c r="G67" t="inlineStr">
        <is>
          <t>FAGERSTA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15812-2025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45748</v>
      </c>
      <c r="E68" s="1" t="n">
        <v>46296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45071</v>
      </c>
      <c r="E69" s="1" t="n">
        <v>46296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58594-2024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45635</v>
      </c>
      <c r="E70" s="1" t="n">
        <v>46296</v>
      </c>
      <c r="F70" t="inlineStr">
        <is>
          <t>VÄSTMANLANDS LÄN</t>
        </is>
      </c>
      <c r="G70" t="inlineStr">
        <is>
          <t>FAGERSTA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33357-2023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45128</v>
      </c>
      <c r="E71" s="1" t="n">
        <v>46296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57855-2023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45247</v>
      </c>
      <c r="E72" s="1" t="n">
        <v>46296</v>
      </c>
      <c r="F72" t="inlineStr">
        <is>
          <t>VÄSTMANLANDS LÄN</t>
        </is>
      </c>
      <c r="G72" t="inlineStr">
        <is>
          <t>FAGERSTA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39157-2024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45548</v>
      </c>
      <c r="E73" s="1" t="n">
        <v>46296</v>
      </c>
      <c r="F73" t="inlineStr">
        <is>
          <t>VÄSTMANLANDS LÄN</t>
        </is>
      </c>
      <c r="G73" t="inlineStr">
        <is>
          <t>FAGERSTA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26509-2022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44739</v>
      </c>
      <c r="E74" s="1" t="n">
        <v>46296</v>
      </c>
      <c r="F74" t="inlineStr">
        <is>
          <t>VÄSTMANLANDS LÄN</t>
        </is>
      </c>
      <c r="G74" t="inlineStr">
        <is>
          <t>FAGERSTA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45627</v>
      </c>
      <c r="E75" s="1" t="n">
        <v>46296</v>
      </c>
      <c r="F75" t="inlineStr">
        <is>
          <t>VÄSTMANLANDS LÄN</t>
        </is>
      </c>
      <c r="G75" t="inlineStr">
        <is>
          <t>FAGERSTA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31231-2024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45503</v>
      </c>
      <c r="E76" s="1" t="n">
        <v>46296</v>
      </c>
      <c r="F76" t="inlineStr">
        <is>
          <t>VÄSTMANLANDS LÄN</t>
        </is>
      </c>
      <c r="G76" t="inlineStr">
        <is>
          <t>FAGERSTA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26652-2025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45810</v>
      </c>
      <c r="E77" s="1" t="n">
        <v>46296</v>
      </c>
      <c r="F77" t="inlineStr">
        <is>
          <t>VÄSTMANLANDS LÄN</t>
        </is>
      </c>
      <c r="G77" t="inlineStr">
        <is>
          <t>FAGERSTA</t>
        </is>
      </c>
      <c r="H77" t="inlineStr">
        <is>
          <t>Bergvik skog väst AB</t>
        </is>
      </c>
      <c r="I77" t="n">
        <v>22.6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49311-2022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44861</v>
      </c>
      <c r="E78" s="1" t="n">
        <v>46296</v>
      </c>
      <c r="F78" t="inlineStr">
        <is>
          <t>VÄSTMANLANDS LÄN</t>
        </is>
      </c>
      <c r="G78" t="inlineStr">
        <is>
          <t>FAGERSTA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45439</v>
      </c>
      <c r="E79" s="1" t="n">
        <v>46296</v>
      </c>
      <c r="F79" t="inlineStr">
        <is>
          <t>VÄSTMANLANDS LÄN</t>
        </is>
      </c>
      <c r="G79" t="inlineStr">
        <is>
          <t>FAGERSTA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63480-2023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45274</v>
      </c>
      <c r="E80" s="1" t="n">
        <v>46296</v>
      </c>
      <c r="F80" t="inlineStr">
        <is>
          <t>VÄSTMANLANDS LÄN</t>
        </is>
      </c>
      <c r="G80" t="inlineStr">
        <is>
          <t>FAGERSTA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45390-2023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45193</v>
      </c>
      <c r="E81" s="1" t="n">
        <v>46296</v>
      </c>
      <c r="F81" t="inlineStr">
        <is>
          <t>VÄSTMANLANDS LÄN</t>
        </is>
      </c>
      <c r="G81" t="inlineStr">
        <is>
          <t>FAGERSTA</t>
        </is>
      </c>
      <c r="I81" t="n">
        <v>8.4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33236-2025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45840</v>
      </c>
      <c r="E82" s="1" t="n">
        <v>46296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33232-2025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45840</v>
      </c>
      <c r="E83" s="1" t="n">
        <v>46296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33238-2025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45840</v>
      </c>
      <c r="E84" s="1" t="n">
        <v>46296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34374-2025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45846</v>
      </c>
      <c r="E85" s="1" t="n">
        <v>46296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28425-2025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46296</v>
      </c>
      <c r="F86" t="inlineStr">
        <is>
          <t>VÄSTMANLANDS LÄN</t>
        </is>
      </c>
      <c r="G86" t="inlineStr">
        <is>
          <t>FAGERSTA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56698-2024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45627</v>
      </c>
      <c r="E87" s="1" t="n">
        <v>46296</v>
      </c>
      <c r="F87" t="inlineStr">
        <is>
          <t>VÄSTMANLANDS LÄN</t>
        </is>
      </c>
      <c r="G87" t="inlineStr">
        <is>
          <t>FAGERSTA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22323-2024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46296</v>
      </c>
      <c r="F88" t="inlineStr">
        <is>
          <t>VÄSTMANLANDS LÄN</t>
        </is>
      </c>
      <c r="G88" t="inlineStr">
        <is>
          <t>FAGERSTA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46359-2025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45925</v>
      </c>
      <c r="E89" s="1" t="n">
        <v>46296</v>
      </c>
      <c r="F89" t="inlineStr">
        <is>
          <t>VÄSTMANLANDS LÄN</t>
        </is>
      </c>
      <c r="G89" t="inlineStr">
        <is>
          <t>FAGERSTA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55794-2025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45972</v>
      </c>
      <c r="E90" s="1" t="n">
        <v>46296</v>
      </c>
      <c r="F90" t="inlineStr">
        <is>
          <t>VÄSTMANLANDS LÄN</t>
        </is>
      </c>
      <c r="G90" t="inlineStr">
        <is>
          <t>FAGERSTA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63305-2025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46010</v>
      </c>
      <c r="E91" s="1" t="n">
        <v>46296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22590-2025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45789</v>
      </c>
      <c r="E92" s="1" t="n">
        <v>46296</v>
      </c>
      <c r="F92" t="inlineStr">
        <is>
          <t>VÄSTMANLANDS LÄN</t>
        </is>
      </c>
      <c r="G92" t="inlineStr">
        <is>
          <t>FAGERSTA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44994</v>
      </c>
      <c r="E93" s="1" t="n">
        <v>46296</v>
      </c>
      <c r="F93" t="inlineStr">
        <is>
          <t>VÄSTMANLANDS LÄN</t>
        </is>
      </c>
      <c r="G93" t="inlineStr">
        <is>
          <t>FAGERSTA</t>
        </is>
      </c>
      <c r="H93" t="inlineStr">
        <is>
          <t>Kommuner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32249-2022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46296</v>
      </c>
      <c r="F94" t="inlineStr">
        <is>
          <t>VÄSTMANLANDS LÄN</t>
        </is>
      </c>
      <c r="G94" t="inlineStr">
        <is>
          <t>FAGERSTA</t>
        </is>
      </c>
      <c r="H94" t="inlineStr">
        <is>
          <t>Kommuner</t>
        </is>
      </c>
      <c r="I94" t="n">
        <v>22.9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28249-2022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44746</v>
      </c>
      <c r="E95" s="1" t="n">
        <v>46296</v>
      </c>
      <c r="F95" t="inlineStr">
        <is>
          <t>VÄSTMANLANDS LÄN</t>
        </is>
      </c>
      <c r="G95" t="inlineStr">
        <is>
          <t>FAGERSTA</t>
        </is>
      </c>
      <c r="H95" t="inlineStr">
        <is>
          <t>Kommuner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60374-2025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45995</v>
      </c>
      <c r="E96" s="1" t="n">
        <v>46296</v>
      </c>
      <c r="F96" t="inlineStr">
        <is>
          <t>VÄSTMANLANDS LÄN</t>
        </is>
      </c>
      <c r="G96" t="inlineStr">
        <is>
          <t>FAGERSTA</t>
        </is>
      </c>
      <c r="H96" t="inlineStr">
        <is>
          <t>Kommuner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10520-2026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46077</v>
      </c>
      <c r="E97" s="1" t="n">
        <v>46296</v>
      </c>
      <c r="F97" t="inlineStr">
        <is>
          <t>VÄSTMANLANDS LÄN</t>
        </is>
      </c>
      <c r="G97" t="inlineStr">
        <is>
          <t>FAGERSTA</t>
        </is>
      </c>
      <c r="H97" t="inlineStr">
        <is>
          <t>Bergvik skog väst AB</t>
        </is>
      </c>
      <c r="I97" t="n">
        <v>19.5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46078</v>
      </c>
      <c r="E98" s="1" t="n">
        <v>46296</v>
      </c>
      <c r="F98" t="inlineStr">
        <is>
          <t>VÄSTMANLANDS LÄN</t>
        </is>
      </c>
      <c r="G98" t="inlineStr">
        <is>
          <t>FAGERSTA</t>
        </is>
      </c>
      <c r="H98" t="inlineStr">
        <is>
          <t>Bergvik skog väst AB</t>
        </is>
      </c>
      <c r="I98" t="n">
        <v>18.6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10526-2026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46077</v>
      </c>
      <c r="E99" s="1" t="n">
        <v>46296</v>
      </c>
      <c r="F99" t="inlineStr">
        <is>
          <t>VÄSTMANLANDS LÄN</t>
        </is>
      </c>
      <c r="G99" t="inlineStr">
        <is>
          <t>FAGERSTA</t>
        </is>
      </c>
      <c r="H99" t="inlineStr">
        <is>
          <t>Bergvik skog väst AB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13079-2026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46296</v>
      </c>
      <c r="F100" t="inlineStr">
        <is>
          <t>VÄSTMANLANDS LÄN</t>
        </is>
      </c>
      <c r="G100" t="inlineStr">
        <is>
          <t>FAGERSTA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17886-2026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46122</v>
      </c>
      <c r="E101" s="1" t="n">
        <v>46296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17893-2026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46122</v>
      </c>
      <c r="E102" s="1" t="n">
        <v>46296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18782-2026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46128</v>
      </c>
      <c r="E103" s="1" t="n">
        <v>46296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18781-2026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46128</v>
      </c>
      <c r="E104" s="1" t="n">
        <v>46296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8.699999999999999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18783-2026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46128</v>
      </c>
      <c r="E105" s="1" t="n">
        <v>46296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19707-2026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46134</v>
      </c>
      <c r="E106" s="1" t="n">
        <v>46296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13.2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19825-2026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46135</v>
      </c>
      <c r="E107" s="1" t="n">
        <v>46296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19708-2026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46134</v>
      </c>
      <c r="E108" s="1" t="n">
        <v>46296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46296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20583-2026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46140</v>
      </c>
      <c r="E110" s="1" t="n">
        <v>46296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13391-2026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46094</v>
      </c>
      <c r="E111" s="1" t="n">
        <v>46296</v>
      </c>
      <c r="F111" t="inlineStr">
        <is>
          <t>VÄSTMANLANDS LÄN</t>
        </is>
      </c>
      <c r="G111" t="inlineStr">
        <is>
          <t>FAGERSTA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21891-2026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46296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11.8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21890-2026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46296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21888-2026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46150</v>
      </c>
      <c r="E114" s="1" t="n">
        <v>46296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21889-2026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46296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7.1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21892-2026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46296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41644-2025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45902</v>
      </c>
      <c r="E117" s="1" t="n">
        <v>46296</v>
      </c>
      <c r="F117" t="inlineStr">
        <is>
          <t>VÄSTMANLANDS LÄN</t>
        </is>
      </c>
      <c r="G117" t="inlineStr">
        <is>
          <t>FAGERSTA</t>
        </is>
      </c>
      <c r="H117" t="inlineStr">
        <is>
          <t>Kommuner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46164</v>
      </c>
      <c r="E118" s="1" t="n">
        <v>46296</v>
      </c>
      <c r="F118" t="inlineStr">
        <is>
          <t>VÄSTMANLANDS LÄN</t>
        </is>
      </c>
      <c r="G118" t="inlineStr">
        <is>
          <t>FAGERSTA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46296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32004-2025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45835</v>
      </c>
      <c r="E120" s="1" t="n">
        <v>46296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31014-2026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46213</v>
      </c>
      <c r="E121" s="1" t="n">
        <v>46296</v>
      </c>
      <c r="F121" t="inlineStr">
        <is>
          <t>VÄSTMANLANDS LÄN</t>
        </is>
      </c>
      <c r="G121" t="inlineStr">
        <is>
          <t>FAGERSTA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34766-2026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46258</v>
      </c>
      <c r="E122" s="1" t="n">
        <v>46296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31482-2026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46223</v>
      </c>
      <c r="E123" s="1" t="n">
        <v>46296</v>
      </c>
      <c r="F123" t="inlineStr">
        <is>
          <t>VÄSTMANLANDS LÄN</t>
        </is>
      </c>
      <c r="G123" t="inlineStr">
        <is>
          <t>FAGERSTA</t>
        </is>
      </c>
      <c r="H123" t="inlineStr">
        <is>
          <t>Övriga Aktiebolag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36365-2026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46268</v>
      </c>
      <c r="E124" s="1" t="n">
        <v>46296</v>
      </c>
      <c r="F124" t="inlineStr">
        <is>
          <t>VÄSTMANLANDS LÄN</t>
        </is>
      </c>
      <c r="G124" t="inlineStr">
        <is>
          <t>FAGERSTA</t>
        </is>
      </c>
      <c r="H124" t="inlineStr">
        <is>
          <t>Kommuner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37231-2026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46274</v>
      </c>
      <c r="E125" s="1" t="n">
        <v>46296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37234-2026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46274</v>
      </c>
      <c r="E126" s="1" t="n">
        <v>46296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37235-2026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46274</v>
      </c>
      <c r="E127" s="1" t="n">
        <v>46296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37228-2026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46274</v>
      </c>
      <c r="E128" s="1" t="n">
        <v>46296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32433-2026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46239</v>
      </c>
      <c r="E129" s="1" t="n">
        <v>46296</v>
      </c>
      <c r="F129" t="inlineStr">
        <is>
          <t>VÄSTMANLANDS LÄN</t>
        </is>
      </c>
      <c r="G129" t="inlineStr">
        <is>
          <t>FAGERSTA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46286</v>
      </c>
      <c r="E130" s="1" t="n">
        <v>46296</v>
      </c>
      <c r="F130" t="inlineStr">
        <is>
          <t>VÄSTMANLANDS LÄN</t>
        </is>
      </c>
      <c r="G130" t="inlineStr">
        <is>
          <t>FAGERSTA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33322-2026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46246</v>
      </c>
      <c r="E131" s="1" t="n">
        <v>46296</v>
      </c>
      <c r="F131" t="inlineStr">
        <is>
          <t>VÄSTMANLANDS LÄN</t>
        </is>
      </c>
      <c r="G131" t="inlineStr">
        <is>
          <t>FAGERSTA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33191-2026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46246</v>
      </c>
      <c r="E132" s="1" t="n">
        <v>46296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33193-2026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46246</v>
      </c>
      <c r="E133" s="1" t="n">
        <v>46296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7.3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39234-2026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46287</v>
      </c>
      <c r="E134" s="1" t="n">
        <v>46296</v>
      </c>
      <c r="F134" t="inlineStr">
        <is>
          <t>VÄSTMANLANDS LÄN</t>
        </is>
      </c>
      <c r="G134" t="inlineStr">
        <is>
          <t>FAGERSTA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39897-2026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46289</v>
      </c>
      <c r="E135" s="1" t="n">
        <v>46296</v>
      </c>
      <c r="F135" t="inlineStr">
        <is>
          <t>VÄSTMANLANDS LÄN</t>
        </is>
      </c>
      <c r="G135" t="inlineStr">
        <is>
          <t>FAGERSTA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2078-2025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46296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2080-2025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46296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2079-2025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45840</v>
      </c>
      <c r="E138" s="1" t="n">
        <v>46296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2121-2025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45846</v>
      </c>
      <c r="E139" s="1" t="n">
        <v>46296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3554-2025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46010</v>
      </c>
      <c r="E140" s="1" t="n">
        <v>46296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1073-2026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46128</v>
      </c>
      <c r="E141" s="1" t="n">
        <v>46296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1143-2026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46135</v>
      </c>
      <c r="E142" s="1" t="n">
        <v>46296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2213-2026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46258</v>
      </c>
      <c r="E143" s="1" t="n">
        <v>46296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2358-2026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46274</v>
      </c>
      <c r="E144" s="1" t="n">
        <v>46296</v>
      </c>
      <c r="F144" t="inlineStr">
        <is>
          <t>VÄSTMANLANDS LÄN</t>
        </is>
      </c>
      <c r="G144" t="inlineStr">
        <is>
          <t>FAGERSTA</t>
        </is>
      </c>
      <c r="H144" t="inlineStr">
        <is>
          <t>Sveaskog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2026-10-01T01:59:37Z</dcterms:created>
  <dcterms:modified xmlns:dcterms="http://purl.org/dc/terms/" xmlns:xsi="http://www.w3.org/2001/XMLSchema-instance" xsi:type="dcterms:W3CDTF">2026-10-01T01:59:37Z</dcterms:modified>
</cp:coreProperties>
</file>