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46278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46278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46278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46278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46278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46278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46278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46278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1683-2026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46034</v>
      </c>
      <c r="E10" s="1" t="n">
        <v>46278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29.2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Skogsalm
Talltita</t>
        </is>
      </c>
      <c r="W10">
        <f>HYPERLINK("https://klasma.github.io/Logging_1982/artfynd/A 1683-2026 artfynd.xlsx", "A 1683-2026")</f>
        <v/>
      </c>
      <c r="X10">
        <f>HYPERLINK("https://klasma.github.io/Logging_1982/kartor/A 1683-2026 karta.png", "A 1683-2026")</f>
        <v/>
      </c>
      <c r="Y10">
        <f>HYPERLINK("https://klasma.github.io/Logging_1982/kartor_geotiff/A 1683-2026 georefererad karta.tif", "A 1683-2026")</f>
        <v/>
      </c>
      <c r="AA10">
        <f>HYPERLINK("https://klasma.github.io/Logging_1982/klagomål/A 1683-2026 FSC-klagomål.docx", "A 1683-2026")</f>
        <v/>
      </c>
      <c r="AB10">
        <f>HYPERLINK("https://klasma.github.io/Logging_1982/klagomålsmail/A 1683-2026 FSC-klagomål mail.docx", "A 1683-2026")</f>
        <v/>
      </c>
      <c r="AC10">
        <f>HYPERLINK("https://klasma.github.io/Logging_1982/tillsyn/A 1683-2026 tillsynsbegäran.docx", "A 1683-2026")</f>
        <v/>
      </c>
      <c r="AD10">
        <f>HYPERLINK("https://klasma.github.io/Logging_1982/tillsynsmail/A 1683-2026 tillsynsbegäran mail.docx", "A 1683-2026")</f>
        <v/>
      </c>
      <c r="AE10">
        <f>HYPERLINK("https://klasma.github.io/Logging_1982/fåglar/A 1683-2026 prioriterade fågelarter.docx", "A 1683-2026")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46278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46278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46278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46278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46278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46278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46278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46278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46278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46278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46278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46278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46278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46278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46278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46278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46278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46278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46278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46278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46278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46278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46278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46278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46278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46278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46278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46278</v>
      </c>
      <c r="F38" t="inlineStr">
        <is>
          <t>VÄSTMANLANDS LÄN</t>
        </is>
      </c>
      <c r="G38" t="inlineStr">
        <is>
          <t>FAGERSTA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62095-2022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44919</v>
      </c>
      <c r="E39" s="1" t="n">
        <v>46278</v>
      </c>
      <c r="F39" t="inlineStr">
        <is>
          <t>VÄSTMANLANDS LÄN</t>
        </is>
      </c>
      <c r="G39" t="inlineStr">
        <is>
          <t>FAGERSTA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46278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46278</v>
      </c>
      <c r="F41" t="inlineStr">
        <is>
          <t>VÄSTMANLANDS LÄN</t>
        </is>
      </c>
      <c r="G41" t="inlineStr">
        <is>
          <t>FAGERSTA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45442</v>
      </c>
      <c r="E42" s="1" t="n">
        <v>46278</v>
      </c>
      <c r="F42" t="inlineStr">
        <is>
          <t>VÄSTMANLANDS LÄN</t>
        </is>
      </c>
      <c r="G42" t="inlineStr">
        <is>
          <t>FAGERSTA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8264-2023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46278</v>
      </c>
      <c r="F43" t="inlineStr">
        <is>
          <t>VÄSTMANLANDS LÄN</t>
        </is>
      </c>
      <c r="G43" t="inlineStr">
        <is>
          <t>FAGERSTA</t>
        </is>
      </c>
      <c r="I43" t="n">
        <v>8.5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60374-2025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45995</v>
      </c>
      <c r="E44" s="1" t="n">
        <v>46278</v>
      </c>
      <c r="F44" t="inlineStr">
        <is>
          <t>VÄSTMANLANDS LÄN</t>
        </is>
      </c>
      <c r="G44" t="inlineStr">
        <is>
          <t>FAGERSTA</t>
        </is>
      </c>
      <c r="H44" t="inlineStr">
        <is>
          <t>Kommuner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22482-2023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45071</v>
      </c>
      <c r="E45" s="1" t="n">
        <v>46278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22485-2023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45071</v>
      </c>
      <c r="E46" s="1" t="n">
        <v>46278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33238-2025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45840</v>
      </c>
      <c r="E47" s="1" t="n">
        <v>46278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33232-2025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45840</v>
      </c>
      <c r="E48" s="1" t="n">
        <v>46278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33236-2025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46278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34374-2025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45846</v>
      </c>
      <c r="E50" s="1" t="n">
        <v>46278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28425-2025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45819</v>
      </c>
      <c r="E51" s="1" t="n">
        <v>46278</v>
      </c>
      <c r="F51" t="inlineStr">
        <is>
          <t>VÄSTMANLANDS LÄN</t>
        </is>
      </c>
      <c r="G51" t="inlineStr">
        <is>
          <t>FAGERSTA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10526-2026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46077</v>
      </c>
      <c r="E52" s="1" t="n">
        <v>46278</v>
      </c>
      <c r="F52" t="inlineStr">
        <is>
          <t>VÄSTMANLANDS LÄN</t>
        </is>
      </c>
      <c r="G52" t="inlineStr">
        <is>
          <t>FAGERSTA</t>
        </is>
      </c>
      <c r="H52" t="inlineStr">
        <is>
          <t>Bergvik skog väst AB</t>
        </is>
      </c>
      <c r="I52" t="n">
        <v>6.2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44998</v>
      </c>
      <c r="E53" s="1" t="n">
        <v>46278</v>
      </c>
      <c r="F53" t="inlineStr">
        <is>
          <t>VÄSTMANLANDS LÄN</t>
        </is>
      </c>
      <c r="G53" t="inlineStr">
        <is>
          <t>FAGERSTA</t>
        </is>
      </c>
      <c r="H53" t="inlineStr">
        <is>
          <t>Övriga Aktiebolag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10520-2026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46077</v>
      </c>
      <c r="E54" s="1" t="n">
        <v>46278</v>
      </c>
      <c r="F54" t="inlineStr">
        <is>
          <t>VÄSTMANLANDS LÄN</t>
        </is>
      </c>
      <c r="G54" t="inlineStr">
        <is>
          <t>FAGERSTA</t>
        </is>
      </c>
      <c r="H54" t="inlineStr">
        <is>
          <t>Bergvik skog väst AB</t>
        </is>
      </c>
      <c r="I54" t="n">
        <v>19.5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31231-2024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45503</v>
      </c>
      <c r="E55" s="1" t="n">
        <v>46278</v>
      </c>
      <c r="F55" t="inlineStr">
        <is>
          <t>VÄSTMANLANDS LÄN</t>
        </is>
      </c>
      <c r="G55" t="inlineStr">
        <is>
          <t>FAGERSTA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46278</v>
      </c>
      <c r="F56" t="inlineStr">
        <is>
          <t>VÄSTMANLANDS LÄN</t>
        </is>
      </c>
      <c r="G56" t="inlineStr">
        <is>
          <t>FAGERSTA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46078</v>
      </c>
      <c r="E57" s="1" t="n">
        <v>46278</v>
      </c>
      <c r="F57" t="inlineStr">
        <is>
          <t>VÄSTMANLANDS LÄN</t>
        </is>
      </c>
      <c r="G57" t="inlineStr">
        <is>
          <t>FAGERSTA</t>
        </is>
      </c>
      <c r="H57" t="inlineStr">
        <is>
          <t>Bergvik skog väst AB</t>
        </is>
      </c>
      <c r="I57" t="n">
        <v>18.6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13079-2026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46093</v>
      </c>
      <c r="E58" s="1" t="n">
        <v>46278</v>
      </c>
      <c r="F58" t="inlineStr">
        <is>
          <t>VÄSTMANLANDS LÄN</t>
        </is>
      </c>
      <c r="G58" t="inlineStr">
        <is>
          <t>FAGERSTA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45722</v>
      </c>
      <c r="E59" s="1" t="n">
        <v>46278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45705</v>
      </c>
      <c r="E60" s="1" t="n">
        <v>46278</v>
      </c>
      <c r="F60" t="inlineStr">
        <is>
          <t>VÄSTMANLANDS LÄN</t>
        </is>
      </c>
      <c r="G60" t="inlineStr">
        <is>
          <t>FAGERSTA</t>
        </is>
      </c>
      <c r="H60" t="inlineStr">
        <is>
          <t>Bergvik skog väst AB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46278</v>
      </c>
      <c r="F61" t="inlineStr">
        <is>
          <t>VÄSTMANLANDS LÄN</t>
        </is>
      </c>
      <c r="G61" t="inlineStr">
        <is>
          <t>FAGERSTA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15812-2025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45748</v>
      </c>
      <c r="E62" s="1" t="n">
        <v>46278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44861</v>
      </c>
      <c r="E63" s="1" t="n">
        <v>46278</v>
      </c>
      <c r="F63" t="inlineStr">
        <is>
          <t>VÄSTMANLANDS LÄN</t>
        </is>
      </c>
      <c r="G63" t="inlineStr">
        <is>
          <t>FAGERSTA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45972</v>
      </c>
      <c r="E64" s="1" t="n">
        <v>46278</v>
      </c>
      <c r="F64" t="inlineStr">
        <is>
          <t>VÄSTMANLANDS LÄN</t>
        </is>
      </c>
      <c r="G64" t="inlineStr">
        <is>
          <t>FAGERSTA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17886-2026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46122</v>
      </c>
      <c r="E65" s="1" t="n">
        <v>46278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18782-2026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46278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18781-2026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46278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18783-2026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46128</v>
      </c>
      <c r="E68" s="1" t="n">
        <v>46278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17893-2026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46122</v>
      </c>
      <c r="E69" s="1" t="n">
        <v>46278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45071</v>
      </c>
      <c r="E70" s="1" t="n">
        <v>46278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19707-2026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46278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13.2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46134</v>
      </c>
      <c r="E72" s="1" t="n">
        <v>46278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19825-2026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46135</v>
      </c>
      <c r="E73" s="1" t="n">
        <v>46278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63305-2025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46010</v>
      </c>
      <c r="E74" s="1" t="n">
        <v>46278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54804-2023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46278</v>
      </c>
      <c r="F75" t="inlineStr">
        <is>
          <t>VÄSTMANLANDS LÄN</t>
        </is>
      </c>
      <c r="G75" t="inlineStr">
        <is>
          <t>FAGERSTA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22323-2024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45446</v>
      </c>
      <c r="E76" s="1" t="n">
        <v>46278</v>
      </c>
      <c r="F76" t="inlineStr">
        <is>
          <t>VÄSTMANLANDS LÄN</t>
        </is>
      </c>
      <c r="G76" t="inlineStr">
        <is>
          <t>FAGERSTA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22590-2025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45789</v>
      </c>
      <c r="E77" s="1" t="n">
        <v>46278</v>
      </c>
      <c r="F77" t="inlineStr">
        <is>
          <t>VÄSTMANLANDS LÄN</t>
        </is>
      </c>
      <c r="G77" t="inlineStr">
        <is>
          <t>FAGERSTA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20583-2026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46140</v>
      </c>
      <c r="E78" s="1" t="n">
        <v>46278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44746</v>
      </c>
      <c r="E79" s="1" t="n">
        <v>46278</v>
      </c>
      <c r="F79" t="inlineStr">
        <is>
          <t>VÄSTMANLANDS LÄN</t>
        </is>
      </c>
      <c r="G79" t="inlineStr">
        <is>
          <t>FAGERSTA</t>
        </is>
      </c>
      <c r="H79" t="inlineStr">
        <is>
          <t>Kommuner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46278</v>
      </c>
      <c r="F80" t="inlineStr">
        <is>
          <t>VÄSTMANLANDS LÄN</t>
        </is>
      </c>
      <c r="G80" t="inlineStr">
        <is>
          <t>FAGERSTA</t>
        </is>
      </c>
      <c r="H80" t="inlineStr">
        <is>
          <t>Kommuner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32249-2022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44781</v>
      </c>
      <c r="E81" s="1" t="n">
        <v>46278</v>
      </c>
      <c r="F81" t="inlineStr">
        <is>
          <t>VÄSTMANLANDS LÄN</t>
        </is>
      </c>
      <c r="G81" t="inlineStr">
        <is>
          <t>FAGERSTA</t>
        </is>
      </c>
      <c r="H81" t="inlineStr">
        <is>
          <t>Kommuner</t>
        </is>
      </c>
      <c r="I81" t="n">
        <v>22.9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46278</v>
      </c>
      <c r="F82" t="inlineStr">
        <is>
          <t>VÄSTMANLANDS LÄN</t>
        </is>
      </c>
      <c r="G82" t="inlineStr">
        <is>
          <t>FAGERSTA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29073-2025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45821</v>
      </c>
      <c r="E83" s="1" t="n">
        <v>46278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46094</v>
      </c>
      <c r="E84" s="1" t="n">
        <v>46278</v>
      </c>
      <c r="F84" t="inlineStr">
        <is>
          <t>VÄSTMANLANDS LÄN</t>
        </is>
      </c>
      <c r="G84" t="inlineStr">
        <is>
          <t>FAGERSTA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33007-2023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45125</v>
      </c>
      <c r="E85" s="1" t="n">
        <v>46278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45627</v>
      </c>
      <c r="E86" s="1" t="n">
        <v>46278</v>
      </c>
      <c r="F86" t="inlineStr">
        <is>
          <t>VÄSTMANLANDS LÄN</t>
        </is>
      </c>
      <c r="G86" t="inlineStr">
        <is>
          <t>FAGERSTA</t>
        </is>
      </c>
      <c r="I86" t="n">
        <v>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19888-2025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46278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16.8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21890-2026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46278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21888-2026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46150</v>
      </c>
      <c r="E89" s="1" t="n">
        <v>46278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21889-2026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46278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46278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21891-2026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46150</v>
      </c>
      <c r="E92" s="1" t="n">
        <v>46278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11.8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45160</v>
      </c>
      <c r="E93" s="1" t="n">
        <v>46278</v>
      </c>
      <c r="F93" t="inlineStr">
        <is>
          <t>VÄSTMANLANDS LÄN</t>
        </is>
      </c>
      <c r="G93" t="inlineStr">
        <is>
          <t>FAGERSTA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45635</v>
      </c>
      <c r="E94" s="1" t="n">
        <v>46278</v>
      </c>
      <c r="F94" t="inlineStr">
        <is>
          <t>VÄSTMANLANDS LÄN</t>
        </is>
      </c>
      <c r="G94" t="inlineStr">
        <is>
          <t>FAGERSTA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46278</v>
      </c>
      <c r="F95" t="inlineStr">
        <is>
          <t>VÄSTMANLANDS LÄN</t>
        </is>
      </c>
      <c r="G95" t="inlineStr">
        <is>
          <t>FAGERSTA</t>
        </is>
      </c>
      <c r="H95" t="inlineStr">
        <is>
          <t>Bergvik skog väst AB</t>
        </is>
      </c>
      <c r="I95" t="n">
        <v>10.1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41644-2025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45902</v>
      </c>
      <c r="E96" s="1" t="n">
        <v>46278</v>
      </c>
      <c r="F96" t="inlineStr">
        <is>
          <t>VÄSTMANLANDS LÄN</t>
        </is>
      </c>
      <c r="G96" t="inlineStr">
        <is>
          <t>FAGERSTA</t>
        </is>
      </c>
      <c r="H96" t="inlineStr">
        <is>
          <t>Kommuner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13697-2025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45737</v>
      </c>
      <c r="E97" s="1" t="n">
        <v>46278</v>
      </c>
      <c r="F97" t="inlineStr">
        <is>
          <t>VÄSTMANLANDS LÄN</t>
        </is>
      </c>
      <c r="G97" t="inlineStr">
        <is>
          <t>FAGERSTA</t>
        </is>
      </c>
      <c r="H97" t="inlineStr">
        <is>
          <t>Bergvik skog väst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23646-2026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46164</v>
      </c>
      <c r="E98" s="1" t="n">
        <v>46278</v>
      </c>
      <c r="F98" t="inlineStr">
        <is>
          <t>VÄSTMANLANDS LÄN</t>
        </is>
      </c>
      <c r="G98" t="inlineStr">
        <is>
          <t>FAGERSTA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33357-2023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45128</v>
      </c>
      <c r="E99" s="1" t="n">
        <v>46278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45390-2023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45193</v>
      </c>
      <c r="E100" s="1" t="n">
        <v>46278</v>
      </c>
      <c r="F100" t="inlineStr">
        <is>
          <t>VÄSTMANLANDS LÄN</t>
        </is>
      </c>
      <c r="G100" t="inlineStr">
        <is>
          <t>FAGERSTA</t>
        </is>
      </c>
      <c r="I100" t="n">
        <v>8.4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26057-2026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46181</v>
      </c>
      <c r="E101" s="1" t="n">
        <v>46278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45627</v>
      </c>
      <c r="E102" s="1" t="n">
        <v>46278</v>
      </c>
      <c r="F102" t="inlineStr">
        <is>
          <t>VÄSTMANLANDS LÄN</t>
        </is>
      </c>
      <c r="G102" t="inlineStr">
        <is>
          <t>FAGERSTA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63480-2023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45274</v>
      </c>
      <c r="E103" s="1" t="n">
        <v>46278</v>
      </c>
      <c r="F103" t="inlineStr">
        <is>
          <t>VÄSTMANLANDS LÄN</t>
        </is>
      </c>
      <c r="G103" t="inlineStr">
        <is>
          <t>FAGERSTA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32004-2025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45835</v>
      </c>
      <c r="E104" s="1" t="n">
        <v>46278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32433-2026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46239</v>
      </c>
      <c r="E105" s="1" t="n">
        <v>46278</v>
      </c>
      <c r="F105" t="inlineStr">
        <is>
          <t>VÄSTMANLANDS LÄN</t>
        </is>
      </c>
      <c r="G105" t="inlineStr">
        <is>
          <t>FAGERSTA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44953</v>
      </c>
      <c r="E106" s="1" t="n">
        <v>46278</v>
      </c>
      <c r="F106" t="inlineStr">
        <is>
          <t>VÄSTMANLANDS LÄN</t>
        </is>
      </c>
      <c r="G106" t="inlineStr">
        <is>
          <t>FAGERSTA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33191-2026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46246</v>
      </c>
      <c r="E107" s="1" t="n">
        <v>46278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33193-2026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46246</v>
      </c>
      <c r="E108" s="1" t="n">
        <v>46278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33322-2026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46246</v>
      </c>
      <c r="E109" s="1" t="n">
        <v>46278</v>
      </c>
      <c r="F109" t="inlineStr">
        <is>
          <t>VÄSTMANLANDS LÄN</t>
        </is>
      </c>
      <c r="G109" t="inlineStr">
        <is>
          <t>FAGERSTA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30630-2023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46278</v>
      </c>
      <c r="F110" t="inlineStr">
        <is>
          <t>VÄSTMANLANDS LÄN</t>
        </is>
      </c>
      <c r="G110" t="inlineStr">
        <is>
          <t>FAGERSTA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34766-2026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46258</v>
      </c>
      <c r="E111" s="1" t="n">
        <v>46278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31014-2026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46213</v>
      </c>
      <c r="E112" s="1" t="n">
        <v>46278</v>
      </c>
      <c r="F112" t="inlineStr">
        <is>
          <t>VÄSTMANLANDS LÄN</t>
        </is>
      </c>
      <c r="G112" t="inlineStr">
        <is>
          <t>FAGERSTA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46278</v>
      </c>
      <c r="F113" t="inlineStr">
        <is>
          <t>VÄSTMANLANDS LÄN</t>
        </is>
      </c>
      <c r="G113" t="inlineStr">
        <is>
          <t>FAGERSTA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31482-2026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46223</v>
      </c>
      <c r="E114" s="1" t="n">
        <v>46278</v>
      </c>
      <c r="F114" t="inlineStr">
        <is>
          <t>VÄSTMANLANDS LÄN</t>
        </is>
      </c>
      <c r="G114" t="inlineStr">
        <is>
          <t>FAGERSTA</t>
        </is>
      </c>
      <c r="H114" t="inlineStr">
        <is>
          <t>Övriga Aktiebolag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46278</v>
      </c>
      <c r="F115" t="inlineStr">
        <is>
          <t>VÄSTMANLANDS LÄN</t>
        </is>
      </c>
      <c r="G115" t="inlineStr">
        <is>
          <t>FAGERSTA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36365-2026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46268</v>
      </c>
      <c r="E116" s="1" t="n">
        <v>46278</v>
      </c>
      <c r="F116" t="inlineStr">
        <is>
          <t>VÄSTMANLANDS LÄN</t>
        </is>
      </c>
      <c r="G116" t="inlineStr">
        <is>
          <t>FAGERSTA</t>
        </is>
      </c>
      <c r="H116" t="inlineStr">
        <is>
          <t>Kommuner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45762</v>
      </c>
      <c r="E117" s="1" t="n">
        <v>46278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37235-2026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46274</v>
      </c>
      <c r="E118" s="1" t="n">
        <v>46278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37231-2026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46274</v>
      </c>
      <c r="E119" s="1" t="n">
        <v>46278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37234-2026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46274</v>
      </c>
      <c r="E120" s="1" t="n">
        <v>46278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37228-2026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46274</v>
      </c>
      <c r="E121" s="1" t="n">
        <v>46278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45769</v>
      </c>
      <c r="E122" s="1" t="n">
        <v>46278</v>
      </c>
      <c r="F122" t="inlineStr">
        <is>
          <t>VÄSTMANLANDS LÄN</t>
        </is>
      </c>
      <c r="G122" t="inlineStr">
        <is>
          <t>FAGERSTA</t>
        </is>
      </c>
      <c r="H122" t="inlineStr">
        <is>
          <t>Övriga Aktiebolag</t>
        </is>
      </c>
      <c r="I122" t="n">
        <v>14.6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45769</v>
      </c>
      <c r="E123" s="1" t="n">
        <v>46278</v>
      </c>
      <c r="F123" t="inlineStr">
        <is>
          <t>VÄSTMANLANDS LÄN</t>
        </is>
      </c>
      <c r="G123" t="inlineStr">
        <is>
          <t>FAGERSTA</t>
        </is>
      </c>
      <c r="I123" t="n">
        <v>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45632</v>
      </c>
      <c r="E124" s="1" t="n">
        <v>46278</v>
      </c>
      <c r="F124" t="inlineStr">
        <is>
          <t>VÄSTMANLANDS LÄN</t>
        </is>
      </c>
      <c r="G124" t="inlineStr">
        <is>
          <t>FAGERSTA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30813-2022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44764</v>
      </c>
      <c r="E125" s="1" t="n">
        <v>46278</v>
      </c>
      <c r="F125" t="inlineStr">
        <is>
          <t>VÄSTMANLANDS LÄN</t>
        </is>
      </c>
      <c r="G125" t="inlineStr">
        <is>
          <t>FAGERSTA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12121-2023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44998</v>
      </c>
      <c r="E126" s="1" t="n">
        <v>46278</v>
      </c>
      <c r="F126" t="inlineStr">
        <is>
          <t>VÄSTMANLANDS LÄN</t>
        </is>
      </c>
      <c r="G126" t="inlineStr">
        <is>
          <t>FAGERSTA</t>
        </is>
      </c>
      <c r="H126" t="inlineStr">
        <is>
          <t>Övriga Aktiebolag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46278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18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46278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45627</v>
      </c>
      <c r="E129" s="1" t="n">
        <v>46278</v>
      </c>
      <c r="F129" t="inlineStr">
        <is>
          <t>VÄSTMANLANDS LÄN</t>
        </is>
      </c>
      <c r="G129" t="inlineStr">
        <is>
          <t>FAGERSTA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46278</v>
      </c>
      <c r="F130" t="inlineStr">
        <is>
          <t>VÄSTMANLANDS LÄN</t>
        </is>
      </c>
      <c r="G130" t="inlineStr">
        <is>
          <t>FAGERSTA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39157-2024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46278</v>
      </c>
      <c r="F131" t="inlineStr">
        <is>
          <t>VÄSTMANLANDS LÄN</t>
        </is>
      </c>
      <c r="G131" t="inlineStr">
        <is>
          <t>FAGERSTA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46278</v>
      </c>
      <c r="F132" t="inlineStr">
        <is>
          <t>VÄSTMANLANDS LÄN</t>
        </is>
      </c>
      <c r="G132" t="inlineStr">
        <is>
          <t>FAGERSTA</t>
        </is>
      </c>
      <c r="H132" t="inlineStr">
        <is>
          <t>Bergvik skog väst AB</t>
        </is>
      </c>
      <c r="I132" t="n">
        <v>22.6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2078-2025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45840</v>
      </c>
      <c r="E133" s="1" t="n">
        <v>46278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2080-2025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46278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2079-2025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46278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2121-2025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45846</v>
      </c>
      <c r="E136" s="1" t="n">
        <v>46278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3554-2025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46010</v>
      </c>
      <c r="E137" s="1" t="n">
        <v>46278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1073-2026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46128</v>
      </c>
      <c r="E138" s="1" t="n">
        <v>46278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1143-2026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46135</v>
      </c>
      <c r="E139" s="1" t="n">
        <v>46278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2213-2026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46258</v>
      </c>
      <c r="E140" s="1" t="n">
        <v>46278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46278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2026-09-13T02:14:05Z</dcterms:created>
  <dcterms:modified xmlns:dcterms="http://purl.org/dc/terms/" xmlns:xsi="http://www.w3.org/2001/XMLSchema-instance" xsi:type="dcterms:W3CDTF">2026-09-13T02:14:05Z</dcterms:modified>
</cp:coreProperties>
</file>