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46235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46235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46235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9956-2022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44621</v>
      </c>
      <c r="E13" s="1" t="n">
        <v>46235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Ögonpyrola
Fläcknycklar</t>
        </is>
      </c>
      <c r="W13">
        <f>HYPERLINK("https://klasma.github.io/Logging_1982/artfynd/A 9956-2022 artfynd.xlsx", "A 9956-2022")</f>
        <v/>
      </c>
      <c r="X13">
        <f>HYPERLINK("https://klasma.github.io/Logging_1982/kartor/A 9956-2022 karta.png", "A 9956-2022")</f>
        <v/>
      </c>
      <c r="Y13">
        <f>HYPERLINK("https://klasma.github.io/Logging_1982/kartor_geotiff/A 9956-2022 georefererad karta.tif", "A 9956-2022")</f>
        <v/>
      </c>
      <c r="AA13">
        <f>HYPERLINK("https://klasma.github.io/Logging_1982/klagomål/A 9956-2022 FSC-klagomål.docx", "A 9956-2022")</f>
        <v/>
      </c>
      <c r="AB13">
        <f>HYPERLINK("https://klasma.github.io/Logging_1982/klagomålsmail/A 9956-2022 FSC-klagomål mail.docx", "A 9956-2022")</f>
        <v/>
      </c>
      <c r="AC13">
        <f>HYPERLINK("https://klasma.github.io/Logging_1982/tillsyn/A 9956-2022 tillsynsbegäran.docx", "A 9956-2022")</f>
        <v/>
      </c>
      <c r="AD13">
        <f>HYPERLINK("https://klasma.github.io/Logging_1982/tillsynsmail/A 9956-2022 tillsynsbegäran mail.docx", "A 9956-2022")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46235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3553-2026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46042</v>
      </c>
      <c r="E15" s="1" t="n">
        <v>46235</v>
      </c>
      <c r="F15" t="inlineStr">
        <is>
          <t>VÄSTMANLANDS LÄN</t>
        </is>
      </c>
      <c r="G15" t="inlineStr">
        <is>
          <t>FAGERSTA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HYPERLINK("https://klasma.github.io/Logging_1982/artfynd/A 3553-2026 artfynd.xlsx", "A 3553-2026")</f>
        <v/>
      </c>
      <c r="X15">
        <f>HYPERLINK("https://klasma.github.io/Logging_1982/kartor/A 3553-2026 karta.png", "A 3553-2026")</f>
        <v/>
      </c>
      <c r="Y15">
        <f>HYPERLINK("https://klasma.github.io/Logging_1982/kartor_geotiff/A 3553-2026 georefererad karta.tif", "A 3553-2026")</f>
        <v/>
      </c>
      <c r="AA15">
        <f>HYPERLINK("https://klasma.github.io/Logging_1982/klagomål/A 3553-2026 FSC-klagomål.docx", "A 3553-2026")</f>
        <v/>
      </c>
      <c r="AB15">
        <f>HYPERLINK("https://klasma.github.io/Logging_1982/klagomålsmail/A 3553-2026 FSC-klagomål mail.docx", "A 3553-2026")</f>
        <v/>
      </c>
      <c r="AC15">
        <f>HYPERLINK("https://klasma.github.io/Logging_1982/tillsyn/A 3553-2026 tillsynsbegäran.docx", "A 3553-2026")</f>
        <v/>
      </c>
      <c r="AD15">
        <f>HYPERLINK("https://klasma.github.io/Logging_1982/tillsynsmail/A 3553-2026 tillsynsbegäran mail.docx", "A 3553-2026")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46235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46235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46235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46235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46235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46235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46235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46235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46235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46235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46235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46235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44953</v>
      </c>
      <c r="E32" s="1" t="n">
        <v>46235</v>
      </c>
      <c r="F32" t="inlineStr">
        <is>
          <t>VÄSTMANLANDS LÄN</t>
        </is>
      </c>
      <c r="G32" t="inlineStr">
        <is>
          <t>FAGERSTA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57855-2023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46235</v>
      </c>
      <c r="F33" t="inlineStr">
        <is>
          <t>VÄSTMANLANDS LÄN</t>
        </is>
      </c>
      <c r="G33" t="inlineStr">
        <is>
          <t>FAGERSTA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46235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46235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46235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46235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46235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46235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46235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46235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46235</v>
      </c>
      <c r="F42" t="inlineStr">
        <is>
          <t>VÄSTMANLANDS LÄN</t>
        </is>
      </c>
      <c r="G42" t="inlineStr">
        <is>
          <t>FAGERSTA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45442</v>
      </c>
      <c r="E43" s="1" t="n">
        <v>46235</v>
      </c>
      <c r="F43" t="inlineStr">
        <is>
          <t>VÄSTMANLANDS LÄN</t>
        </is>
      </c>
      <c r="G43" t="inlineStr">
        <is>
          <t>FAGERSTA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45439</v>
      </c>
      <c r="E44" s="1" t="n">
        <v>46235</v>
      </c>
      <c r="F44" t="inlineStr">
        <is>
          <t>VÄSTMANLANDS LÄN</t>
        </is>
      </c>
      <c r="G44" t="inlineStr">
        <is>
          <t>FAGERSTA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46235</v>
      </c>
      <c r="F45" t="inlineStr">
        <is>
          <t>VÄSTMANLANDS LÄN</t>
        </is>
      </c>
      <c r="G45" t="inlineStr">
        <is>
          <t>FAGERSTA</t>
        </is>
      </c>
      <c r="I45" t="n">
        <v>8.5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20583-2026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46235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45071</v>
      </c>
      <c r="E47" s="1" t="n">
        <v>46235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46235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46235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46235</v>
      </c>
      <c r="F50" t="inlineStr">
        <is>
          <t>VÄSTMANLANDS LÄN</t>
        </is>
      </c>
      <c r="G50" t="inlineStr">
        <is>
          <t>FAGERSTA</t>
        </is>
      </c>
      <c r="H50" t="inlineStr">
        <is>
          <t>Övriga Aktiebolag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46235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46235</v>
      </c>
      <c r="F52" t="inlineStr">
        <is>
          <t>VÄSTMANLANDS LÄN</t>
        </is>
      </c>
      <c r="G52" t="inlineStr">
        <is>
          <t>FAGERSTA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46235</v>
      </c>
      <c r="F53" t="inlineStr">
        <is>
          <t>VÄSTMANLANDS LÄN</t>
        </is>
      </c>
      <c r="G53" t="inlineStr">
        <is>
          <t>FAGERSTA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21890-2026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46235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46235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46235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46235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46235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46235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46235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45705</v>
      </c>
      <c r="E61" s="1" t="n">
        <v>46235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46235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46235</v>
      </c>
      <c r="F63" t="inlineStr">
        <is>
          <t>VÄSTMANLANDS LÄN</t>
        </is>
      </c>
      <c r="G63" t="inlineStr">
        <is>
          <t>FAGERSTA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45748</v>
      </c>
      <c r="E64" s="1" t="n">
        <v>46235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46235</v>
      </c>
      <c r="F65" t="inlineStr">
        <is>
          <t>VÄSTMANLANDS LÄN</t>
        </is>
      </c>
      <c r="G65" t="inlineStr">
        <is>
          <t>FAGERSTA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45980</v>
      </c>
      <c r="E66" s="1" t="n">
        <v>46235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45071</v>
      </c>
      <c r="E67" s="1" t="n">
        <v>46235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46235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46235</v>
      </c>
      <c r="F69" t="inlineStr">
        <is>
          <t>VÄSTMANLANDS LÄN</t>
        </is>
      </c>
      <c r="G69" t="inlineStr">
        <is>
          <t>FAGERSTA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46235</v>
      </c>
      <c r="F70" t="inlineStr">
        <is>
          <t>VÄSTMANLANDS LÄN</t>
        </is>
      </c>
      <c r="G70" t="inlineStr">
        <is>
          <t>FAGERSTA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45627</v>
      </c>
      <c r="E71" s="1" t="n">
        <v>46235</v>
      </c>
      <c r="F71" t="inlineStr">
        <is>
          <t>VÄSTMANLANDS LÄN</t>
        </is>
      </c>
      <c r="G71" t="inlineStr">
        <is>
          <t>FAGERSTA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63305-2025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46010</v>
      </c>
      <c r="E72" s="1" t="n">
        <v>46235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46235</v>
      </c>
      <c r="F73" t="inlineStr">
        <is>
          <t>VÄSTMANLANDS LÄN</t>
        </is>
      </c>
      <c r="G73" t="inlineStr">
        <is>
          <t>FAGERSTA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45222</v>
      </c>
      <c r="E74" s="1" t="n">
        <v>46235</v>
      </c>
      <c r="F74" t="inlineStr">
        <is>
          <t>VÄSTMANLANDS LÄN</t>
        </is>
      </c>
      <c r="G74" t="inlineStr">
        <is>
          <t>FAGERSTA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46235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46213</v>
      </c>
      <c r="E76" s="1" t="n">
        <v>46235</v>
      </c>
      <c r="F76" t="inlineStr">
        <is>
          <t>VÄSTMANLANDS LÄN</t>
        </is>
      </c>
      <c r="G76" t="inlineStr">
        <is>
          <t>FAGERSTA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46235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46235</v>
      </c>
      <c r="F78" t="inlineStr">
        <is>
          <t>VÄSTMANLANDS LÄN</t>
        </is>
      </c>
      <c r="G78" t="inlineStr">
        <is>
          <t>FAGERSTA</t>
        </is>
      </c>
      <c r="H78" t="inlineStr">
        <is>
          <t>Övriga Aktiebolag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46235</v>
      </c>
      <c r="F79" t="inlineStr">
        <is>
          <t>VÄSTMANLANDS LÄN</t>
        </is>
      </c>
      <c r="G79" t="inlineStr">
        <is>
          <t>FAGERSTA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46235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46235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44994</v>
      </c>
      <c r="E82" s="1" t="n">
        <v>46235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44781</v>
      </c>
      <c r="E83" s="1" t="n">
        <v>46235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46235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45627</v>
      </c>
      <c r="E85" s="1" t="n">
        <v>46235</v>
      </c>
      <c r="F85" t="inlineStr">
        <is>
          <t>VÄSTMANLANDS LÄN</t>
        </is>
      </c>
      <c r="G85" t="inlineStr">
        <is>
          <t>FAGERSTA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46235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45995</v>
      </c>
      <c r="E87" s="1" t="n">
        <v>46235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46235</v>
      </c>
      <c r="F88" t="inlineStr">
        <is>
          <t>VÄSTMANLANDS LÄN</t>
        </is>
      </c>
      <c r="G88" t="inlineStr">
        <is>
          <t>FAGERSTA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46235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46235</v>
      </c>
      <c r="F90" t="inlineStr">
        <is>
          <t>VÄSTMANLANDS LÄN</t>
        </is>
      </c>
      <c r="G90" t="inlineStr">
        <is>
          <t>FAGERSTA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46235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46235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46235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13697-2025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45737</v>
      </c>
      <c r="E94" s="1" t="n">
        <v>46235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46235</v>
      </c>
      <c r="F95" t="inlineStr">
        <is>
          <t>VÄSTMANLANDS LÄN</t>
        </is>
      </c>
      <c r="G95" t="inlineStr">
        <is>
          <t>FAGERSTA</t>
        </is>
      </c>
      <c r="H95" t="inlineStr">
        <is>
          <t>Övriga Aktiebolag</t>
        </is>
      </c>
      <c r="I95" t="n">
        <v>14.6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46235</v>
      </c>
      <c r="F96" t="inlineStr">
        <is>
          <t>VÄSTMANLANDS LÄN</t>
        </is>
      </c>
      <c r="G96" t="inlineStr">
        <is>
          <t>FAGERSTA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46235</v>
      </c>
      <c r="F97" t="inlineStr">
        <is>
          <t>VÄSTMANLANDS LÄN</t>
        </is>
      </c>
      <c r="G97" t="inlineStr">
        <is>
          <t>FAGERSTA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45128</v>
      </c>
      <c r="E98" s="1" t="n">
        <v>46235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46235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46122</v>
      </c>
      <c r="E100" s="1" t="n">
        <v>46235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46235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45632</v>
      </c>
      <c r="E102" s="1" t="n">
        <v>46235</v>
      </c>
      <c r="F102" t="inlineStr">
        <is>
          <t>VÄSTMANLANDS LÄN</t>
        </is>
      </c>
      <c r="G102" t="inlineStr">
        <is>
          <t>FAGERSTA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46235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8.699999999999999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18783-2026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46128</v>
      </c>
      <c r="E104" s="1" t="n">
        <v>46235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44764</v>
      </c>
      <c r="E105" s="1" t="n">
        <v>46235</v>
      </c>
      <c r="F105" t="inlineStr">
        <is>
          <t>VÄSTMANLANDS LÄN</t>
        </is>
      </c>
      <c r="G105" t="inlineStr">
        <is>
          <t>FAGERSTA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46122</v>
      </c>
      <c r="E106" s="1" t="n">
        <v>46235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46235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46235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46235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46235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46235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19825-2026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46135</v>
      </c>
      <c r="E112" s="1" t="n">
        <v>46235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46235</v>
      </c>
      <c r="F113" t="inlineStr">
        <is>
          <t>VÄSTMANLANDS LÄN</t>
        </is>
      </c>
      <c r="G113" t="inlineStr">
        <is>
          <t>FAGERSTA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46235</v>
      </c>
      <c r="F114" t="inlineStr">
        <is>
          <t>VÄSTMANLANDS LÄN</t>
        </is>
      </c>
      <c r="G114" t="inlineStr">
        <is>
          <t>FAGERSTA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46235</v>
      </c>
      <c r="F115" t="inlineStr">
        <is>
          <t>VÄSTMANLANDS LÄN</t>
        </is>
      </c>
      <c r="G115" t="inlineStr">
        <is>
          <t>FAGERSTA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46235</v>
      </c>
      <c r="F116" t="inlineStr">
        <is>
          <t>VÄSTMANLANDS LÄN</t>
        </is>
      </c>
      <c r="G116" t="inlineStr">
        <is>
          <t>FAGERSTA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46235</v>
      </c>
      <c r="F117" t="inlineStr">
        <is>
          <t>VÄSTMANLANDS LÄN</t>
        </is>
      </c>
      <c r="G117" t="inlineStr">
        <is>
          <t>FAGERSTA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46235</v>
      </c>
      <c r="F118" t="inlineStr">
        <is>
          <t>VÄSTMANLANDS LÄN</t>
        </is>
      </c>
      <c r="G118" t="inlineStr">
        <is>
          <t>FAGERSTA</t>
        </is>
      </c>
      <c r="H118" t="inlineStr">
        <is>
          <t>Bergvik skog väst AB</t>
        </is>
      </c>
      <c r="I118" t="n">
        <v>22.6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46235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46235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33238-2025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45840</v>
      </c>
      <c r="E121" s="1" t="n">
        <v>46235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33232-2025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45840</v>
      </c>
      <c r="E122" s="1" t="n">
        <v>46235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46235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45846</v>
      </c>
      <c r="E124" s="1" t="n">
        <v>46235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46235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2078-2025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46235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2080-2025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46235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2079-2025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46235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2121-2025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45846</v>
      </c>
      <c r="E129" s="1" t="n">
        <v>46235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3554-2025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46010</v>
      </c>
      <c r="E130" s="1" t="n">
        <v>46235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1073-2026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46128</v>
      </c>
      <c r="E131" s="1" t="n">
        <v>46235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1143-2026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46135</v>
      </c>
      <c r="E132" s="1" t="n">
        <v>46235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2026-08-01T01:49:21Z</dcterms:created>
  <dcterms:modified xmlns:dcterms="http://purl.org/dc/terms/" xmlns:xsi="http://www.w3.org/2001/XMLSchema-instance" xsi:type="dcterms:W3CDTF">2026-08-01T01:49:21Z</dcterms:modified>
</cp:coreProperties>
</file>