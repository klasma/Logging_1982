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46231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46231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46231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46231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46231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46231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46231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Knärot</t>
        </is>
      </c>
      <c r="W16">
        <f>HYPERLINK("https://klasma.github.io/Logging_1982/artfynd/A 38127-2021 artfynd.xlsx", "A 38127-2021")</f>
        <v/>
      </c>
      <c r="X16">
        <f>HYPERLINK("https://klasma.github.io/Logging_1982/kartor/A 38127-2021 karta.png", "A 38127-2021")</f>
        <v/>
      </c>
      <c r="Y16">
        <f>HYPERLINK("https://klasma.github.io/Logging_1982/kartor_geotiff/A 38127-2021 georefererad karta.tif", "A 38127-2021")</f>
        <v/>
      </c>
      <c r="Z16">
        <f>HYPERLINK("https://klasma.github.io/Logging_1982/knärot/A 38127-2021 karta knärot.png", "A 38127-2021")</f>
        <v/>
      </c>
      <c r="AA16">
        <f>HYPERLINK("https://klasma.github.io/Logging_1982/klagomål/A 38127-2021 FSC-klagomål.docx", "A 38127-2021")</f>
        <v/>
      </c>
      <c r="AB16">
        <f>HYPERLINK("https://klasma.github.io/Logging_1982/klagomålsmail/A 38127-2021 FSC-klagomål mail.docx", "A 38127-2021")</f>
        <v/>
      </c>
      <c r="AC16">
        <f>HYPERLINK("https://klasma.github.io/Logging_1982/tillsyn/A 38127-2021 tillsynsbegäran.docx", "A 38127-2021")</f>
        <v/>
      </c>
      <c r="AD16">
        <f>HYPERLINK("https://klasma.github.io/Logging_1982/tillsynsmail/A 38127-2021 tillsynsbegäran mail.docx", "A 38127-2021")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46231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15334-2023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45019</v>
      </c>
      <c r="E18" s="1" t="n">
        <v>46231</v>
      </c>
      <c r="F18" t="inlineStr">
        <is>
          <t>VÄSTMANLANDS LÄN</t>
        </is>
      </c>
      <c r="G18" t="inlineStr">
        <is>
          <t>FAGERSTA</t>
        </is>
      </c>
      <c r="H18" t="inlineStr">
        <is>
          <t>Övriga Aktiebolag</t>
        </is>
      </c>
      <c r="I18" t="n">
        <v>27.3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Grovticka</t>
        </is>
      </c>
      <c r="W18">
        <f>HYPERLINK("https://klasma.github.io/Logging_1982/artfynd/A 15334-2023 artfynd.xlsx", "A 15334-2023")</f>
        <v/>
      </c>
      <c r="X18">
        <f>HYPERLINK("https://klasma.github.io/Logging_1982/kartor/A 15334-2023 karta.png", "A 15334-2023")</f>
        <v/>
      </c>
      <c r="Y18">
        <f>HYPERLINK("https://klasma.github.io/Logging_1982/kartor_geotiff/A 15334-2023 georefererad karta.tif", "A 15334-2023")</f>
        <v/>
      </c>
      <c r="AA18">
        <f>HYPERLINK("https://klasma.github.io/Logging_1982/klagomål/A 15334-2023 FSC-klagomål.docx", "A 15334-2023")</f>
        <v/>
      </c>
      <c r="AB18">
        <f>HYPERLINK("https://klasma.github.io/Logging_1982/klagomålsmail/A 15334-2023 FSC-klagomål mail.docx", "A 15334-2023")</f>
        <v/>
      </c>
      <c r="AC18">
        <f>HYPERLINK("https://klasma.github.io/Logging_1982/tillsyn/A 15334-2023 tillsynsbegäran.docx", "A 15334-2023")</f>
        <v/>
      </c>
      <c r="AD18">
        <f>HYPERLINK("https://klasma.github.io/Logging_1982/tillsynsmail/A 15334-2023 tillsynsbegäran mail.docx", "A 15334-2023")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46231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3553-2026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46231</v>
      </c>
      <c r="F20" t="inlineStr">
        <is>
          <t>VÄSTMANLANDS LÄN</t>
        </is>
      </c>
      <c r="G20" t="inlineStr">
        <is>
          <t>FAGERSTA</t>
        </is>
      </c>
      <c r="I20" t="n">
        <v>2.5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HYPERLINK("https://klasma.github.io/Logging_1982/artfynd/A 3553-2026 artfynd.xlsx", "A 3553-2026")</f>
        <v/>
      </c>
      <c r="X20">
        <f>HYPERLINK("https://klasma.github.io/Logging_1982/kartor/A 3553-2026 karta.png", "A 3553-2026")</f>
        <v/>
      </c>
      <c r="Y20">
        <f>HYPERLINK("https://klasma.github.io/Logging_1982/kartor_geotiff/A 3553-2026 georefererad karta.tif", "A 3553-2026")</f>
        <v/>
      </c>
      <c r="AA20">
        <f>HYPERLINK("https://klasma.github.io/Logging_1982/klagomål/A 3553-2026 FSC-klagomål.docx", "A 3553-2026")</f>
        <v/>
      </c>
      <c r="AB20">
        <f>HYPERLINK("https://klasma.github.io/Logging_1982/klagomålsmail/A 3553-2026 FSC-klagomål mail.docx", "A 3553-2026")</f>
        <v/>
      </c>
      <c r="AC20">
        <f>HYPERLINK("https://klasma.github.io/Logging_1982/tillsyn/A 3553-2026 tillsynsbegäran.docx", "A 3553-2026")</f>
        <v/>
      </c>
      <c r="AD20">
        <f>HYPERLINK("https://klasma.github.io/Logging_1982/tillsynsmail/A 3553-2026 tillsynsbegäran mail.docx", "A 3553-2026")</f>
        <v/>
      </c>
    </row>
    <row r="21" ht="15" customHeight="1">
      <c r="A21" t="inlineStr">
        <is>
          <t>A 19550-2025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45770</v>
      </c>
      <c r="E21" s="1" t="n">
        <v>46231</v>
      </c>
      <c r="F21" t="inlineStr">
        <is>
          <t>VÄSTMANLANDS LÄN</t>
        </is>
      </c>
      <c r="G21" t="inlineStr">
        <is>
          <t>FAGERSTA</t>
        </is>
      </c>
      <c r="I21" t="n">
        <v>16.4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HYPERLINK("https://klasma.github.io/Logging_1982/artfynd/A 19550-2025 artfynd.xlsx", "A 19550-2025")</f>
        <v/>
      </c>
      <c r="X21">
        <f>HYPERLINK("https://klasma.github.io/Logging_1982/kartor/A 19550-2025 karta.png", "A 19550-2025")</f>
        <v/>
      </c>
      <c r="Y21">
        <f>HYPERLINK("https://klasma.github.io/Logging_1982/kartor_geotiff/A 19550-2025 georefererad karta.tif", "A 19550-2025")</f>
        <v/>
      </c>
      <c r="AA21">
        <f>HYPERLINK("https://klasma.github.io/Logging_1982/klagomål/A 19550-2025 FSC-klagomål.docx", "A 19550-2025")</f>
        <v/>
      </c>
      <c r="AB21">
        <f>HYPERLINK("https://klasma.github.io/Logging_1982/klagomålsmail/A 19550-2025 FSC-klagomål mail.docx", "A 19550-2025")</f>
        <v/>
      </c>
      <c r="AC21">
        <f>HYPERLINK("https://klasma.github.io/Logging_1982/tillsyn/A 19550-2025 tillsynsbegäran.docx", "A 19550-2025")</f>
        <v/>
      </c>
      <c r="AD21">
        <f>HYPERLINK("https://klasma.github.io/Logging_1982/tillsynsmail/A 19550-2025 tillsynsbegäran mail.docx", "A 19550-2025")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46231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46231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46231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46231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46231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46231</v>
      </c>
      <c r="F27" t="inlineStr">
        <is>
          <t>VÄSTMANLANDS LÄN</t>
        </is>
      </c>
      <c r="G27" t="inlineStr">
        <is>
          <t>FAGERSTA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44776</v>
      </c>
      <c r="E28" s="1" t="n">
        <v>46231</v>
      </c>
      <c r="F28" t="inlineStr">
        <is>
          <t>VÄSTMANLANDS LÄN</t>
        </is>
      </c>
      <c r="G28" t="inlineStr">
        <is>
          <t>FAGERSTA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30868-2022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44767</v>
      </c>
      <c r="E29" s="1" t="n">
        <v>46231</v>
      </c>
      <c r="F29" t="inlineStr">
        <is>
          <t>VÄSTMANLANDS LÄN</t>
        </is>
      </c>
      <c r="G29" t="inlineStr">
        <is>
          <t>FAGERSTA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74425-2021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44564</v>
      </c>
      <c r="E30" s="1" t="n">
        <v>46231</v>
      </c>
      <c r="F30" t="inlineStr">
        <is>
          <t>VÄSTMANLANDS LÄN</t>
        </is>
      </c>
      <c r="G30" t="inlineStr">
        <is>
          <t>FAGERSTA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29510-2022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44753</v>
      </c>
      <c r="E31" s="1" t="n">
        <v>46231</v>
      </c>
      <c r="F31" t="inlineStr">
        <is>
          <t>VÄSTMANLANDS LÄN</t>
        </is>
      </c>
      <c r="G31" t="inlineStr">
        <is>
          <t>FAGERSTA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46231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46231</v>
      </c>
      <c r="F33" t="inlineStr">
        <is>
          <t>VÄSTMANLANDS LÄN</t>
        </is>
      </c>
      <c r="G33" t="inlineStr">
        <is>
          <t>FAGERSTA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46231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46231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46231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46231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46231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20909-2024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45439</v>
      </c>
      <c r="E39" s="1" t="n">
        <v>46231</v>
      </c>
      <c r="F39" t="inlineStr">
        <is>
          <t>VÄSTMANLANDS LÄN</t>
        </is>
      </c>
      <c r="G39" t="inlineStr">
        <is>
          <t>FAGERSTA</t>
        </is>
      </c>
      <c r="I39" t="n">
        <v>6.9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46231</v>
      </c>
      <c r="F40" t="inlineStr">
        <is>
          <t>VÄSTMANLANDS LÄN</t>
        </is>
      </c>
      <c r="G40" t="inlineStr">
        <is>
          <t>FAGERSTA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44919</v>
      </c>
      <c r="E41" s="1" t="n">
        <v>46231</v>
      </c>
      <c r="F41" t="inlineStr">
        <is>
          <t>VÄSTMANLANDS LÄN</t>
        </is>
      </c>
      <c r="G41" t="inlineStr">
        <is>
          <t>FAGERSTA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46231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46231</v>
      </c>
      <c r="F43" t="inlineStr">
        <is>
          <t>VÄSTMANLANDS LÄN</t>
        </is>
      </c>
      <c r="G43" t="inlineStr">
        <is>
          <t>FAGERSTA</t>
        </is>
      </c>
      <c r="H43" t="inlineStr">
        <is>
          <t>Bergvik skog väst AB</t>
        </is>
      </c>
      <c r="I43" t="n">
        <v>22.6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42844-2024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46231</v>
      </c>
      <c r="F44" t="inlineStr">
        <is>
          <t>VÄSTMANLANDS LÄN</t>
        </is>
      </c>
      <c r="G44" t="inlineStr">
        <is>
          <t>FAGERSTA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29075-2025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45821</v>
      </c>
      <c r="E45" s="1" t="n">
        <v>46231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46231</v>
      </c>
      <c r="F46" t="inlineStr">
        <is>
          <t>VÄSTMANLANDS LÄN</t>
        </is>
      </c>
      <c r="G46" t="inlineStr">
        <is>
          <t>FAGERSTA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46231</v>
      </c>
      <c r="F47" t="inlineStr">
        <is>
          <t>VÄSTMANLANDS LÄN</t>
        </is>
      </c>
      <c r="G47" t="inlineStr">
        <is>
          <t>FAGERSTA</t>
        </is>
      </c>
      <c r="H47" t="inlineStr">
        <is>
          <t>Kommuner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44994</v>
      </c>
      <c r="E48" s="1" t="n">
        <v>46231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44781</v>
      </c>
      <c r="E49" s="1" t="n">
        <v>46231</v>
      </c>
      <c r="F49" t="inlineStr">
        <is>
          <t>VÄSTMANLANDS LÄN</t>
        </is>
      </c>
      <c r="G49" t="inlineStr">
        <is>
          <t>FAGERSTA</t>
        </is>
      </c>
      <c r="H49" t="inlineStr">
        <is>
          <t>Kommuner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32001-2025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46231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46231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33232-2025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46231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33236-2025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46231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60374-2025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45995</v>
      </c>
      <c r="E54" s="1" t="n">
        <v>46231</v>
      </c>
      <c r="F54" t="inlineStr">
        <is>
          <t>VÄSTMANLANDS LÄN</t>
        </is>
      </c>
      <c r="G54" t="inlineStr">
        <is>
          <t>FAGERSTA</t>
        </is>
      </c>
      <c r="H54" t="inlineStr">
        <is>
          <t>Kommuner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46231</v>
      </c>
      <c r="F55" t="inlineStr">
        <is>
          <t>VÄSTMANLANDS LÄN</t>
        </is>
      </c>
      <c r="G55" t="inlineStr">
        <is>
          <t>FAGERSTA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34374-2025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45846</v>
      </c>
      <c r="E56" s="1" t="n">
        <v>46231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10526-2026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46077</v>
      </c>
      <c r="E57" s="1" t="n">
        <v>46231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46077</v>
      </c>
      <c r="E58" s="1" t="n">
        <v>46231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19.5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28425-2025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45819</v>
      </c>
      <c r="E59" s="1" t="n">
        <v>46231</v>
      </c>
      <c r="F59" t="inlineStr">
        <is>
          <t>VÄSTMANLANDS LÄN</t>
        </is>
      </c>
      <c r="G59" t="inlineStr">
        <is>
          <t>FAGERSTA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22482-2023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45071</v>
      </c>
      <c r="E60" s="1" t="n">
        <v>46231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45071</v>
      </c>
      <c r="E61" s="1" t="n">
        <v>46231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46231</v>
      </c>
      <c r="F62" t="inlineStr">
        <is>
          <t>VÄSTMANLANDS LÄN</t>
        </is>
      </c>
      <c r="G62" t="inlineStr">
        <is>
          <t>FAGERSTA</t>
        </is>
      </c>
      <c r="H62" t="inlineStr">
        <is>
          <t>Bergvik skog väst AB</t>
        </is>
      </c>
      <c r="I62" t="n">
        <v>18.6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13079-2026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46231</v>
      </c>
      <c r="F63" t="inlineStr">
        <is>
          <t>VÄSTMANLANDS LÄN</t>
        </is>
      </c>
      <c r="G63" t="inlineStr">
        <is>
          <t>FAGERSTA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12125-2023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44998</v>
      </c>
      <c r="E64" s="1" t="n">
        <v>46231</v>
      </c>
      <c r="F64" t="inlineStr">
        <is>
          <t>VÄSTMANLANDS LÄN</t>
        </is>
      </c>
      <c r="G64" t="inlineStr">
        <is>
          <t>FAGERSTA</t>
        </is>
      </c>
      <c r="H64" t="inlineStr">
        <is>
          <t>Övriga Aktiebolag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45503</v>
      </c>
      <c r="E65" s="1" t="n">
        <v>46231</v>
      </c>
      <c r="F65" t="inlineStr">
        <is>
          <t>VÄSTMANLANDS LÄN</t>
        </is>
      </c>
      <c r="G65" t="inlineStr">
        <is>
          <t>FAGERSTA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46231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46231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46231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18783-2026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46128</v>
      </c>
      <c r="E69" s="1" t="n">
        <v>46231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17893-2026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46122</v>
      </c>
      <c r="E70" s="1" t="n">
        <v>46231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46231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46231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45705</v>
      </c>
      <c r="E73" s="1" t="n">
        <v>46231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46134</v>
      </c>
      <c r="E74" s="1" t="n">
        <v>46231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19825-2026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46135</v>
      </c>
      <c r="E75" s="1" t="n">
        <v>46231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46231</v>
      </c>
      <c r="F76" t="inlineStr">
        <is>
          <t>VÄSTMANLANDS LÄN</t>
        </is>
      </c>
      <c r="G76" t="inlineStr">
        <is>
          <t>FAGERSTA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46231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49311-2022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44861</v>
      </c>
      <c r="E78" s="1" t="n">
        <v>46231</v>
      </c>
      <c r="F78" t="inlineStr">
        <is>
          <t>VÄSTMANLANDS LÄN</t>
        </is>
      </c>
      <c r="G78" t="inlineStr">
        <is>
          <t>FAGERSTA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20583-2026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46140</v>
      </c>
      <c r="E79" s="1" t="n">
        <v>46231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45925</v>
      </c>
      <c r="E80" s="1" t="n">
        <v>46231</v>
      </c>
      <c r="F80" t="inlineStr">
        <is>
          <t>VÄSTMANLANDS LÄN</t>
        </is>
      </c>
      <c r="G80" t="inlineStr">
        <is>
          <t>FAGERSTA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45071</v>
      </c>
      <c r="E81" s="1" t="n">
        <v>46231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45821</v>
      </c>
      <c r="E82" s="1" t="n">
        <v>46231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46231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54804-2023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45236</v>
      </c>
      <c r="E84" s="1" t="n">
        <v>46231</v>
      </c>
      <c r="F84" t="inlineStr">
        <is>
          <t>VÄSTMANLANDS LÄN</t>
        </is>
      </c>
      <c r="G84" t="inlineStr">
        <is>
          <t>FAGERSTA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22323-2024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46231</v>
      </c>
      <c r="F85" t="inlineStr">
        <is>
          <t>VÄSTMANLANDS LÄN</t>
        </is>
      </c>
      <c r="G85" t="inlineStr">
        <is>
          <t>FAGERSTA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46231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46231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46231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46231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46231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41644-2025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45902</v>
      </c>
      <c r="E91" s="1" t="n">
        <v>46231</v>
      </c>
      <c r="F91" t="inlineStr">
        <is>
          <t>VÄSTMANLANDS LÄN</t>
        </is>
      </c>
      <c r="G91" t="inlineStr">
        <is>
          <t>FAGERSTA</t>
        </is>
      </c>
      <c r="H91" t="inlineStr">
        <is>
          <t>Kommuner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46231</v>
      </c>
      <c r="F92" t="inlineStr">
        <is>
          <t>VÄSTMANLANDS LÄN</t>
        </is>
      </c>
      <c r="G92" t="inlineStr">
        <is>
          <t>FAGERSTA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33007-2023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45125</v>
      </c>
      <c r="E93" s="1" t="n">
        <v>46231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45627</v>
      </c>
      <c r="E94" s="1" t="n">
        <v>46231</v>
      </c>
      <c r="F94" t="inlineStr">
        <is>
          <t>VÄSTMANLANDS LÄN</t>
        </is>
      </c>
      <c r="G94" t="inlineStr">
        <is>
          <t>FAGERSTA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46231</v>
      </c>
      <c r="F95" t="inlineStr">
        <is>
          <t>VÄSTMANLANDS LÄN</t>
        </is>
      </c>
      <c r="G95" t="inlineStr">
        <is>
          <t>FAGERSTA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46231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16.8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45160</v>
      </c>
      <c r="E97" s="1" t="n">
        <v>46231</v>
      </c>
      <c r="F97" t="inlineStr">
        <is>
          <t>VÄSTMANLANDS LÄN</t>
        </is>
      </c>
      <c r="G97" t="inlineStr">
        <is>
          <t>FAGERSTA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46231</v>
      </c>
      <c r="F98" t="inlineStr">
        <is>
          <t>VÄSTMANLANDS LÄN</t>
        </is>
      </c>
      <c r="G98" t="inlineStr">
        <is>
          <t>FAGERSTA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46231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31014-2026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46213</v>
      </c>
      <c r="E100" s="1" t="n">
        <v>46231</v>
      </c>
      <c r="F100" t="inlineStr">
        <is>
          <t>VÄSTMANLANDS LÄN</t>
        </is>
      </c>
      <c r="G100" t="inlineStr">
        <is>
          <t>FAGERSTA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13697-2025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45737</v>
      </c>
      <c r="E101" s="1" t="n">
        <v>46231</v>
      </c>
      <c r="F101" t="inlineStr">
        <is>
          <t>VÄSTMANLANDS LÄN</t>
        </is>
      </c>
      <c r="G101" t="inlineStr">
        <is>
          <t>FAGERSTA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46231</v>
      </c>
      <c r="F102" t="inlineStr">
        <is>
          <t>VÄSTMANLANDS LÄN</t>
        </is>
      </c>
      <c r="G102" t="inlineStr">
        <is>
          <t>FAGERSTA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46231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46223</v>
      </c>
      <c r="E104" s="1" t="n">
        <v>46231</v>
      </c>
      <c r="F104" t="inlineStr">
        <is>
          <t>VÄSTMANLANDS LÄN</t>
        </is>
      </c>
      <c r="G104" t="inlineStr">
        <is>
          <t>FAGERSTA</t>
        </is>
      </c>
      <c r="H104" t="inlineStr">
        <is>
          <t>Övriga Aktiebolag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45128</v>
      </c>
      <c r="E105" s="1" t="n">
        <v>46231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46231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45193</v>
      </c>
      <c r="E107" s="1" t="n">
        <v>46231</v>
      </c>
      <c r="F107" t="inlineStr">
        <is>
          <t>VÄSTMANLANDS LÄN</t>
        </is>
      </c>
      <c r="G107" t="inlineStr">
        <is>
          <t>FAGERSTA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46231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63305-2025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46010</v>
      </c>
      <c r="E109" s="1" t="n">
        <v>46231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46231</v>
      </c>
      <c r="F110" t="inlineStr">
        <is>
          <t>VÄSTMANLANDS LÄN</t>
        </is>
      </c>
      <c r="G110" t="inlineStr">
        <is>
          <t>FAGERSTA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45274</v>
      </c>
      <c r="E111" s="1" t="n">
        <v>46231</v>
      </c>
      <c r="F111" t="inlineStr">
        <is>
          <t>VÄSTMANLANDS LÄN</t>
        </is>
      </c>
      <c r="G111" t="inlineStr">
        <is>
          <t>FAGERSTA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46231</v>
      </c>
      <c r="F112" t="inlineStr">
        <is>
          <t>VÄSTMANLANDS LÄN</t>
        </is>
      </c>
      <c r="G112" t="inlineStr">
        <is>
          <t>FAGERSTA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44953</v>
      </c>
      <c r="E113" s="1" t="n">
        <v>46231</v>
      </c>
      <c r="F113" t="inlineStr">
        <is>
          <t>VÄSTMANLANDS LÄN</t>
        </is>
      </c>
      <c r="G113" t="inlineStr">
        <is>
          <t>FAGERSTA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46231</v>
      </c>
      <c r="F114" t="inlineStr">
        <is>
          <t>VÄSTMANLANDS LÄN</t>
        </is>
      </c>
      <c r="G114" t="inlineStr">
        <is>
          <t>FAGERSTA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46231</v>
      </c>
      <c r="F115" t="inlineStr">
        <is>
          <t>VÄSTMANLANDS LÄN</t>
        </is>
      </c>
      <c r="G115" t="inlineStr">
        <is>
          <t>FAGERSTA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46231</v>
      </c>
      <c r="F116" t="inlineStr">
        <is>
          <t>VÄSTMANLANDS LÄN</t>
        </is>
      </c>
      <c r="G116" t="inlineStr">
        <is>
          <t>FAGERSTA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46231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46231</v>
      </c>
      <c r="F118" t="inlineStr">
        <is>
          <t>VÄSTMANLANDS LÄN</t>
        </is>
      </c>
      <c r="G118" t="inlineStr">
        <is>
          <t>FAGERSTA</t>
        </is>
      </c>
      <c r="H118" t="inlineStr">
        <is>
          <t>Övriga Aktiebolag</t>
        </is>
      </c>
      <c r="I118" t="n">
        <v>14.6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46231</v>
      </c>
      <c r="F119" t="inlineStr">
        <is>
          <t>VÄSTMANLANDS LÄN</t>
        </is>
      </c>
      <c r="G119" t="inlineStr">
        <is>
          <t>FAGERSTA</t>
        </is>
      </c>
      <c r="I119" t="n">
        <v>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46231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46231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46231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46231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46231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46231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46231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46231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46231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46231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46231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46231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46231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46231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2026-07-28T01:49:53Z</dcterms:created>
  <dcterms:modified xmlns:dcterms="http://purl.org/dc/terms/" xmlns:xsi="http://www.w3.org/2001/XMLSchema-instance" xsi:type="dcterms:W3CDTF">2026-07-28T01:49:53Z</dcterms:modified>
</cp:coreProperties>
</file>