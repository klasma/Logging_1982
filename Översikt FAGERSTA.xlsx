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46236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46236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46236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46236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46236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46236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46236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46236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46236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7385-2023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44971</v>
      </c>
      <c r="E11" s="1" t="n">
        <v>46236</v>
      </c>
      <c r="F11" t="inlineStr">
        <is>
          <t>VÄSTMANLANDS LÄN</t>
        </is>
      </c>
      <c r="G11" t="inlineStr">
        <is>
          <t>FAGERSTA</t>
        </is>
      </c>
      <c r="I11" t="n">
        <v>3.5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Bolmört
Tibast</t>
        </is>
      </c>
      <c r="W11">
        <f>HYPERLINK("https://klasma.github.io/Logging_1982/artfynd/A 7385-2023 artfynd.xlsx", "A 7385-2023")</f>
        <v/>
      </c>
      <c r="X11">
        <f>HYPERLINK("https://klasma.github.io/Logging_1982/kartor/A 7385-2023 karta.png", "A 7385-2023")</f>
        <v/>
      </c>
      <c r="Y11">
        <f>HYPERLINK("https://klasma.github.io/Logging_1982/kartor_geotiff/A 7385-2023 georefererad karta.tif", "A 7385-2023")</f>
        <v/>
      </c>
      <c r="AA11">
        <f>HYPERLINK("https://klasma.github.io/Logging_1982/klagomål/A 7385-2023 FSC-klagomål.docx", "A 7385-2023")</f>
        <v/>
      </c>
      <c r="AB11">
        <f>HYPERLINK("https://klasma.github.io/Logging_1982/klagomålsmail/A 7385-2023 FSC-klagomål mail.docx", "A 7385-2023")</f>
        <v/>
      </c>
      <c r="AC11">
        <f>HYPERLINK("https://klasma.github.io/Logging_1982/tillsyn/A 7385-2023 tillsynsbegäran.docx", "A 7385-2023")</f>
        <v/>
      </c>
      <c r="AD11">
        <f>HYPERLINK("https://klasma.github.io/Logging_1982/tillsynsmail/A 7385-2023 tillsynsbegäran mail.docx", "A 7385-2023")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46236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9956-2022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44621</v>
      </c>
      <c r="E13" s="1" t="n">
        <v>46236</v>
      </c>
      <c r="F13" t="inlineStr">
        <is>
          <t>VÄSTMANLANDS LÄN</t>
        </is>
      </c>
      <c r="G13" t="inlineStr">
        <is>
          <t>FAGERSTA</t>
        </is>
      </c>
      <c r="H13" t="inlineStr">
        <is>
          <t>Kommuner</t>
        </is>
      </c>
      <c r="I13" t="n">
        <v>6.4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Ögonpyrola
Fläcknycklar</t>
        </is>
      </c>
      <c r="W13">
        <f>HYPERLINK("https://klasma.github.io/Logging_1982/artfynd/A 9956-2022 artfynd.xlsx", "A 9956-2022")</f>
        <v/>
      </c>
      <c r="X13">
        <f>HYPERLINK("https://klasma.github.io/Logging_1982/kartor/A 9956-2022 karta.png", "A 9956-2022")</f>
        <v/>
      </c>
      <c r="Y13">
        <f>HYPERLINK("https://klasma.github.io/Logging_1982/kartor_geotiff/A 9956-2022 georefererad karta.tif", "A 9956-2022")</f>
        <v/>
      </c>
      <c r="AA13">
        <f>HYPERLINK("https://klasma.github.io/Logging_1982/klagomål/A 9956-2022 FSC-klagomål.docx", "A 9956-2022")</f>
        <v/>
      </c>
      <c r="AB13">
        <f>HYPERLINK("https://klasma.github.io/Logging_1982/klagomålsmail/A 9956-2022 FSC-klagomål mail.docx", "A 9956-2022")</f>
        <v/>
      </c>
      <c r="AC13">
        <f>HYPERLINK("https://klasma.github.io/Logging_1982/tillsyn/A 9956-2022 tillsynsbegäran.docx", "A 9956-2022")</f>
        <v/>
      </c>
      <c r="AD13">
        <f>HYPERLINK("https://klasma.github.io/Logging_1982/tillsynsmail/A 9956-2022 tillsynsbegäran mail.docx", "A 9956-2022")</f>
        <v/>
      </c>
    </row>
    <row r="14" ht="15" customHeight="1">
      <c r="A14" t="inlineStr">
        <is>
          <t>A 17889-2026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46122</v>
      </c>
      <c r="E14" s="1" t="n">
        <v>46236</v>
      </c>
      <c r="F14" t="inlineStr">
        <is>
          <t>VÄSTMANLANDS LÄN</t>
        </is>
      </c>
      <c r="G14" t="inlineStr">
        <is>
          <t>FAGERSTA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Garnlav
Tallticka</t>
        </is>
      </c>
      <c r="W14">
        <f>HYPERLINK("https://klasma.github.io/Logging_1982/artfynd/A 17889-2026 artfynd.xlsx", "A 17889-2026")</f>
        <v/>
      </c>
      <c r="X14">
        <f>HYPERLINK("https://klasma.github.io/Logging_1982/kartor/A 17889-2026 karta.png", "A 17889-2026")</f>
        <v/>
      </c>
      <c r="Y14">
        <f>HYPERLINK("https://klasma.github.io/Logging_1982/kartor_geotiff/A 17889-2026 georefererad karta.tif", "A 17889-2026")</f>
        <v/>
      </c>
      <c r="AA14">
        <f>HYPERLINK("https://klasma.github.io/Logging_1982/klagomål/A 17889-2026 FSC-klagomål.docx", "A 17889-2026")</f>
        <v/>
      </c>
      <c r="AB14">
        <f>HYPERLINK("https://klasma.github.io/Logging_1982/klagomålsmail/A 17889-2026 FSC-klagomål mail.docx", "A 17889-2026")</f>
        <v/>
      </c>
      <c r="AC14">
        <f>HYPERLINK("https://klasma.github.io/Logging_1982/tillsyn/A 17889-2026 tillsynsbegäran.docx", "A 17889-2026")</f>
        <v/>
      </c>
      <c r="AD14">
        <f>HYPERLINK("https://klasma.github.io/Logging_1982/tillsynsmail/A 17889-2026 tillsynsbegäran mail.docx", "A 17889-2026")</f>
        <v/>
      </c>
    </row>
    <row r="15" ht="15" customHeight="1">
      <c r="A15" t="inlineStr">
        <is>
          <t>A 3553-2026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46042</v>
      </c>
      <c r="E15" s="1" t="n">
        <v>46236</v>
      </c>
      <c r="F15" t="inlineStr">
        <is>
          <t>VÄSTMANLANDS LÄN</t>
        </is>
      </c>
      <c r="G15" t="inlineStr">
        <is>
          <t>FAGERSTA</t>
        </is>
      </c>
      <c r="I15" t="n">
        <v>2.5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Rödlånke</t>
        </is>
      </c>
      <c r="W15">
        <f>HYPERLINK("https://klasma.github.io/Logging_1982/artfynd/A 3553-2026 artfynd.xlsx", "A 3553-2026")</f>
        <v/>
      </c>
      <c r="X15">
        <f>HYPERLINK("https://klasma.github.io/Logging_1982/kartor/A 3553-2026 karta.png", "A 3553-2026")</f>
        <v/>
      </c>
      <c r="Y15">
        <f>HYPERLINK("https://klasma.github.io/Logging_1982/kartor_geotiff/A 3553-2026 georefererad karta.tif", "A 3553-2026")</f>
        <v/>
      </c>
      <c r="AA15">
        <f>HYPERLINK("https://klasma.github.io/Logging_1982/klagomål/A 3553-2026 FSC-klagomål.docx", "A 3553-2026")</f>
        <v/>
      </c>
      <c r="AB15">
        <f>HYPERLINK("https://klasma.github.io/Logging_1982/klagomålsmail/A 3553-2026 FSC-klagomål mail.docx", "A 3553-2026")</f>
        <v/>
      </c>
      <c r="AC15">
        <f>HYPERLINK("https://klasma.github.io/Logging_1982/tillsyn/A 3553-2026 tillsynsbegäran.docx", "A 3553-2026")</f>
        <v/>
      </c>
      <c r="AD15">
        <f>HYPERLINK("https://klasma.github.io/Logging_1982/tillsynsmail/A 3553-2026 tillsynsbegäran mail.docx", "A 3553-2026")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46236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46236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50226-2025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45943</v>
      </c>
      <c r="E18" s="1" t="n">
        <v>46236</v>
      </c>
      <c r="F18" t="inlineStr">
        <is>
          <t>VÄSTMANLANDS LÄN</t>
        </is>
      </c>
      <c r="G18" t="inlineStr">
        <is>
          <t>FAGERSTA</t>
        </is>
      </c>
      <c r="H18" t="inlineStr">
        <is>
          <t>Kommuner</t>
        </is>
      </c>
      <c r="I18" t="n">
        <v>0.1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Ärtsångare</t>
        </is>
      </c>
      <c r="W18">
        <f>HYPERLINK("https://klasma.github.io/Logging_1982/artfynd/A 50226-2025 artfynd.xlsx", "A 50226-2025")</f>
        <v/>
      </c>
      <c r="X18">
        <f>HYPERLINK("https://klasma.github.io/Logging_1982/kartor/A 50226-2025 karta.png", "A 50226-2025")</f>
        <v/>
      </c>
      <c r="Y18">
        <f>HYPERLINK("https://klasma.github.io/Logging_1982/kartor_geotiff/A 50226-2025 georefererad karta.tif", "A 50226-2025")</f>
        <v/>
      </c>
      <c r="AA18">
        <f>HYPERLINK("https://klasma.github.io/Logging_1982/klagomål/A 50226-2025 FSC-klagomål.docx", "A 50226-2025")</f>
        <v/>
      </c>
      <c r="AB18">
        <f>HYPERLINK("https://klasma.github.io/Logging_1982/klagomålsmail/A 50226-2025 FSC-klagomål mail.docx", "A 50226-2025")</f>
        <v/>
      </c>
      <c r="AC18">
        <f>HYPERLINK("https://klasma.github.io/Logging_1982/tillsyn/A 50226-2025 tillsynsbegäran.docx", "A 50226-2025")</f>
        <v/>
      </c>
      <c r="AD18">
        <f>HYPERLINK("https://klasma.github.io/Logging_1982/tillsynsmail/A 50226-2025 tillsynsbegäran mail.docx", "A 50226-2025")</f>
        <v/>
      </c>
    </row>
    <row r="19" ht="15" customHeight="1">
      <c r="A19" t="inlineStr">
        <is>
          <t>A 19550-2025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45770</v>
      </c>
      <c r="E19" s="1" t="n">
        <v>46236</v>
      </c>
      <c r="F19" t="inlineStr">
        <is>
          <t>VÄSTMANLANDS LÄN</t>
        </is>
      </c>
      <c r="G19" t="inlineStr">
        <is>
          <t>FAGERSTA</t>
        </is>
      </c>
      <c r="I19" t="n">
        <v>16.4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HYPERLINK("https://klasma.github.io/Logging_1982/artfynd/A 19550-2025 artfynd.xlsx", "A 19550-2025")</f>
        <v/>
      </c>
      <c r="X19">
        <f>HYPERLINK("https://klasma.github.io/Logging_1982/kartor/A 19550-2025 karta.png", "A 19550-2025")</f>
        <v/>
      </c>
      <c r="Y19">
        <f>HYPERLINK("https://klasma.github.io/Logging_1982/kartor_geotiff/A 19550-2025 georefererad karta.tif", "A 19550-2025")</f>
        <v/>
      </c>
      <c r="AA19">
        <f>HYPERLINK("https://klasma.github.io/Logging_1982/klagomål/A 19550-2025 FSC-klagomål.docx", "A 19550-2025")</f>
        <v/>
      </c>
      <c r="AB19">
        <f>HYPERLINK("https://klasma.github.io/Logging_1982/klagomålsmail/A 19550-2025 FSC-klagomål mail.docx", "A 19550-2025")</f>
        <v/>
      </c>
      <c r="AC19">
        <f>HYPERLINK("https://klasma.github.io/Logging_1982/tillsyn/A 19550-2025 tillsynsbegäran.docx", "A 19550-2025")</f>
        <v/>
      </c>
      <c r="AD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46236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46236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46236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46236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46236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46236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46236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46236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46236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46236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46236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46236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4264-2023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44953</v>
      </c>
      <c r="E32" s="1" t="n">
        <v>46236</v>
      </c>
      <c r="F32" t="inlineStr">
        <is>
          <t>VÄSTMANLANDS LÄN</t>
        </is>
      </c>
      <c r="G32" t="inlineStr">
        <is>
          <t>FAGERSTA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57855-2023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45247</v>
      </c>
      <c r="E33" s="1" t="n">
        <v>46236</v>
      </c>
      <c r="F33" t="inlineStr">
        <is>
          <t>VÄSTMANLANDS LÄN</t>
        </is>
      </c>
      <c r="G33" t="inlineStr">
        <is>
          <t>FAGERSTA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51936-2022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44872</v>
      </c>
      <c r="E34" s="1" t="n">
        <v>46236</v>
      </c>
      <c r="F34" t="inlineStr">
        <is>
          <t>VÄSTMANLANDS LÄN</t>
        </is>
      </c>
      <c r="G34" t="inlineStr">
        <is>
          <t>FAGERSTA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25053-2022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44729</v>
      </c>
      <c r="E35" s="1" t="n">
        <v>46236</v>
      </c>
      <c r="F35" t="inlineStr">
        <is>
          <t>VÄSTMANLANDS LÄN</t>
        </is>
      </c>
      <c r="G35" t="inlineStr">
        <is>
          <t>FAGERSTA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25057-2022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44729</v>
      </c>
      <c r="E36" s="1" t="n">
        <v>46236</v>
      </c>
      <c r="F36" t="inlineStr">
        <is>
          <t>VÄSTMANLANDS LÄN</t>
        </is>
      </c>
      <c r="G36" t="inlineStr">
        <is>
          <t>FAGERSTA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46236</v>
      </c>
      <c r="F37" t="inlineStr">
        <is>
          <t>VÄSTMANLANDS LÄN</t>
        </is>
      </c>
      <c r="G37" t="inlineStr">
        <is>
          <t>FAGERSTA</t>
        </is>
      </c>
      <c r="H37" t="inlineStr">
        <is>
          <t>Kommuner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68174-2021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44526</v>
      </c>
      <c r="E38" s="1" t="n">
        <v>46236</v>
      </c>
      <c r="F38" t="inlineStr">
        <is>
          <t>VÄSTMANLANDS LÄN</t>
        </is>
      </c>
      <c r="G38" t="inlineStr">
        <is>
          <t>FAGERSTA</t>
        </is>
      </c>
      <c r="H38" t="inlineStr">
        <is>
          <t>Kyrkan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62095-2022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44919</v>
      </c>
      <c r="E39" s="1" t="n">
        <v>46236</v>
      </c>
      <c r="F39" t="inlineStr">
        <is>
          <t>VÄSTMANLANDS LÄN</t>
        </is>
      </c>
      <c r="G39" t="inlineStr">
        <is>
          <t>FAGERSTA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46236</v>
      </c>
      <c r="F40" t="inlineStr">
        <is>
          <t>VÄSTMANLANDS LÄN</t>
        </is>
      </c>
      <c r="G40" t="inlineStr">
        <is>
          <t>FAGERSTA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46236</v>
      </c>
      <c r="F41" t="inlineStr">
        <is>
          <t>VÄSTMANLANDS LÄN</t>
        </is>
      </c>
      <c r="G41" t="inlineStr">
        <is>
          <t>FAGERSTA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30630-2023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46236</v>
      </c>
      <c r="F42" t="inlineStr">
        <is>
          <t>VÄSTMANLANDS LÄN</t>
        </is>
      </c>
      <c r="G42" t="inlineStr">
        <is>
          <t>FAGERSTA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21679-2024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45442</v>
      </c>
      <c r="E43" s="1" t="n">
        <v>46236</v>
      </c>
      <c r="F43" t="inlineStr">
        <is>
          <t>VÄSTMANLANDS LÄN</t>
        </is>
      </c>
      <c r="G43" t="inlineStr">
        <is>
          <t>FAGERSTA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20909-2024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45439</v>
      </c>
      <c r="E44" s="1" t="n">
        <v>46236</v>
      </c>
      <c r="F44" t="inlineStr">
        <is>
          <t>VÄSTMANLANDS LÄN</t>
        </is>
      </c>
      <c r="G44" t="inlineStr">
        <is>
          <t>FAGERSTA</t>
        </is>
      </c>
      <c r="I44" t="n">
        <v>6.9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8264-2023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46236</v>
      </c>
      <c r="F45" t="inlineStr">
        <is>
          <t>VÄSTMANLANDS LÄN</t>
        </is>
      </c>
      <c r="G45" t="inlineStr">
        <is>
          <t>FAGERSTA</t>
        </is>
      </c>
      <c r="I45" t="n">
        <v>8.5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20583-2026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46140</v>
      </c>
      <c r="E46" s="1" t="n">
        <v>46236</v>
      </c>
      <c r="F46" t="inlineStr">
        <is>
          <t>VÄSTMANLANDS LÄN</t>
        </is>
      </c>
      <c r="G46" t="inlineStr">
        <is>
          <t>FAGERSTA</t>
        </is>
      </c>
      <c r="H46" t="inlineStr">
        <is>
          <t>Sveaskog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22482-2023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45071</v>
      </c>
      <c r="E47" s="1" t="n">
        <v>46236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22485-2023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45071</v>
      </c>
      <c r="E48" s="1" t="n">
        <v>46236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46359-2025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45925</v>
      </c>
      <c r="E49" s="1" t="n">
        <v>46236</v>
      </c>
      <c r="F49" t="inlineStr">
        <is>
          <t>VÄSTMANLANDS LÄN</t>
        </is>
      </c>
      <c r="G49" t="inlineStr">
        <is>
          <t>FAGERSTA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44998</v>
      </c>
      <c r="E50" s="1" t="n">
        <v>46236</v>
      </c>
      <c r="F50" t="inlineStr">
        <is>
          <t>VÄSTMANLANDS LÄN</t>
        </is>
      </c>
      <c r="G50" t="inlineStr">
        <is>
          <t>FAGERSTA</t>
        </is>
      </c>
      <c r="H50" t="inlineStr">
        <is>
          <t>Övriga Aktiebolag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29073-2025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45821</v>
      </c>
      <c r="E51" s="1" t="n">
        <v>46236</v>
      </c>
      <c r="F51" t="inlineStr">
        <is>
          <t>VÄSTMANLANDS LÄN</t>
        </is>
      </c>
      <c r="G51" t="inlineStr">
        <is>
          <t>FAGERSTA</t>
        </is>
      </c>
      <c r="H51" t="inlineStr">
        <is>
          <t>Sveaskog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13391-2026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46094</v>
      </c>
      <c r="E52" s="1" t="n">
        <v>46236</v>
      </c>
      <c r="F52" t="inlineStr">
        <is>
          <t>VÄSTMANLANDS LÄN</t>
        </is>
      </c>
      <c r="G52" t="inlineStr">
        <is>
          <t>FAGERSTA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31231-2024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45503</v>
      </c>
      <c r="E53" s="1" t="n">
        <v>46236</v>
      </c>
      <c r="F53" t="inlineStr">
        <is>
          <t>VÄSTMANLANDS LÄN</t>
        </is>
      </c>
      <c r="G53" t="inlineStr">
        <is>
          <t>FAGERSTA</t>
        </is>
      </c>
      <c r="I53" t="n">
        <v>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21890-2026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46150</v>
      </c>
      <c r="E54" s="1" t="n">
        <v>46236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21888-2026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46150</v>
      </c>
      <c r="E55" s="1" t="n">
        <v>46236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21889-2026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46150</v>
      </c>
      <c r="E56" s="1" t="n">
        <v>46236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7.1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21892-2026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46150</v>
      </c>
      <c r="E57" s="1" t="n">
        <v>46236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21891-2026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46150</v>
      </c>
      <c r="E58" s="1" t="n">
        <v>46236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11.8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10820-2025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45722</v>
      </c>
      <c r="E59" s="1" t="n">
        <v>46236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41644-2025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45902</v>
      </c>
      <c r="E60" s="1" t="n">
        <v>46236</v>
      </c>
      <c r="F60" t="inlineStr">
        <is>
          <t>VÄSTMANLANDS LÄN</t>
        </is>
      </c>
      <c r="G60" t="inlineStr">
        <is>
          <t>FAGERSTA</t>
        </is>
      </c>
      <c r="H60" t="inlineStr">
        <is>
          <t>Kommuner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7380-2025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45705</v>
      </c>
      <c r="E61" s="1" t="n">
        <v>46236</v>
      </c>
      <c r="F61" t="inlineStr">
        <is>
          <t>VÄSTMANLANDS LÄN</t>
        </is>
      </c>
      <c r="G61" t="inlineStr">
        <is>
          <t>FAGERSTA</t>
        </is>
      </c>
      <c r="H61" t="inlineStr">
        <is>
          <t>Bergvik skog väst AB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45972</v>
      </c>
      <c r="E62" s="1" t="n">
        <v>46236</v>
      </c>
      <c r="F62" t="inlineStr">
        <is>
          <t>VÄSTMANLANDS LÄN</t>
        </is>
      </c>
      <c r="G62" t="inlineStr">
        <is>
          <t>FAGERSTA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26509-2022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46236</v>
      </c>
      <c r="F63" t="inlineStr">
        <is>
          <t>VÄSTMANLANDS LÄN</t>
        </is>
      </c>
      <c r="G63" t="inlineStr">
        <is>
          <t>FAGERSTA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15812-2025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45748</v>
      </c>
      <c r="E64" s="1" t="n">
        <v>46236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44861</v>
      </c>
      <c r="E65" s="1" t="n">
        <v>46236</v>
      </c>
      <c r="F65" t="inlineStr">
        <is>
          <t>VÄSTMANLANDS LÄN</t>
        </is>
      </c>
      <c r="G65" t="inlineStr">
        <is>
          <t>FAGERSTA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57405-2025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45980</v>
      </c>
      <c r="E66" s="1" t="n">
        <v>46236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22484-2023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45071</v>
      </c>
      <c r="E67" s="1" t="n">
        <v>46236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32004-2025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45835</v>
      </c>
      <c r="E68" s="1" t="n">
        <v>46236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23646-2026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46164</v>
      </c>
      <c r="E69" s="1" t="n">
        <v>46236</v>
      </c>
      <c r="F69" t="inlineStr">
        <is>
          <t>VÄSTMANLANDS LÄN</t>
        </is>
      </c>
      <c r="G69" t="inlineStr">
        <is>
          <t>FAGERSTA</t>
        </is>
      </c>
      <c r="I69" t="n">
        <v>6.8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54804-2023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45236</v>
      </c>
      <c r="E70" s="1" t="n">
        <v>46236</v>
      </c>
      <c r="F70" t="inlineStr">
        <is>
          <t>VÄSTMANLANDS LÄN</t>
        </is>
      </c>
      <c r="G70" t="inlineStr">
        <is>
          <t>FAGERSTA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56699-2024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45627</v>
      </c>
      <c r="E71" s="1" t="n">
        <v>46236</v>
      </c>
      <c r="F71" t="inlineStr">
        <is>
          <t>VÄSTMANLANDS LÄN</t>
        </is>
      </c>
      <c r="G71" t="inlineStr">
        <is>
          <t>FAGERSTA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63305-2025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46010</v>
      </c>
      <c r="E72" s="1" t="n">
        <v>46236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22323-2024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45446</v>
      </c>
      <c r="E73" s="1" t="n">
        <v>46236</v>
      </c>
      <c r="F73" t="inlineStr">
        <is>
          <t>VÄSTMANLANDS LÄN</t>
        </is>
      </c>
      <c r="G73" t="inlineStr">
        <is>
          <t>FAGERSTA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51586-2023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45222</v>
      </c>
      <c r="E74" s="1" t="n">
        <v>46236</v>
      </c>
      <c r="F74" t="inlineStr">
        <is>
          <t>VÄSTMANLANDS LÄN</t>
        </is>
      </c>
      <c r="G74" t="inlineStr">
        <is>
          <t>FAGERSTA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22590-2025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45789</v>
      </c>
      <c r="E75" s="1" t="n">
        <v>46236</v>
      </c>
      <c r="F75" t="inlineStr">
        <is>
          <t>VÄSTMANLANDS LÄN</t>
        </is>
      </c>
      <c r="G75" t="inlineStr">
        <is>
          <t>FAGERSTA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31014-2026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46213</v>
      </c>
      <c r="E76" s="1" t="n">
        <v>46236</v>
      </c>
      <c r="F76" t="inlineStr">
        <is>
          <t>VÄSTMANLANDS LÄN</t>
        </is>
      </c>
      <c r="G76" t="inlineStr">
        <is>
          <t>FAGERSTA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26057-2026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46181</v>
      </c>
      <c r="E77" s="1" t="n">
        <v>46236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31482-2026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46223</v>
      </c>
      <c r="E78" s="1" t="n">
        <v>46236</v>
      </c>
      <c r="F78" t="inlineStr">
        <is>
          <t>VÄSTMANLANDS LÄN</t>
        </is>
      </c>
      <c r="G78" t="inlineStr">
        <is>
          <t>FAGERSTA</t>
        </is>
      </c>
      <c r="H78" t="inlineStr">
        <is>
          <t>Övriga Aktiebolag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56739-2021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44481</v>
      </c>
      <c r="E79" s="1" t="n">
        <v>46236</v>
      </c>
      <c r="F79" t="inlineStr">
        <is>
          <t>VÄSTMANLANDS LÄN</t>
        </is>
      </c>
      <c r="G79" t="inlineStr">
        <is>
          <t>FAGERSTA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18463-2025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45762</v>
      </c>
      <c r="E80" s="1" t="n">
        <v>46236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28249-2022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44746</v>
      </c>
      <c r="E81" s="1" t="n">
        <v>46236</v>
      </c>
      <c r="F81" t="inlineStr">
        <is>
          <t>VÄSTMANLANDS LÄN</t>
        </is>
      </c>
      <c r="G81" t="inlineStr">
        <is>
          <t>FAGERSTA</t>
        </is>
      </c>
      <c r="H81" t="inlineStr">
        <is>
          <t>Kommuner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44994</v>
      </c>
      <c r="E82" s="1" t="n">
        <v>46236</v>
      </c>
      <c r="F82" t="inlineStr">
        <is>
          <t>VÄSTMANLANDS LÄN</t>
        </is>
      </c>
      <c r="G82" t="inlineStr">
        <is>
          <t>FAGERSTA</t>
        </is>
      </c>
      <c r="H82" t="inlineStr">
        <is>
          <t>Kommuner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32249-2022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44781</v>
      </c>
      <c r="E83" s="1" t="n">
        <v>46236</v>
      </c>
      <c r="F83" t="inlineStr">
        <is>
          <t>VÄSTMANLANDS LÄN</t>
        </is>
      </c>
      <c r="G83" t="inlineStr">
        <is>
          <t>FAGERSTA</t>
        </is>
      </c>
      <c r="H83" t="inlineStr">
        <is>
          <t>Kommuner</t>
        </is>
      </c>
      <c r="I83" t="n">
        <v>22.9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33007-2023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45125</v>
      </c>
      <c r="E84" s="1" t="n">
        <v>46236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56694-2024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45627</v>
      </c>
      <c r="E85" s="1" t="n">
        <v>46236</v>
      </c>
      <c r="F85" t="inlineStr">
        <is>
          <t>VÄSTMANLANDS LÄN</t>
        </is>
      </c>
      <c r="G85" t="inlineStr">
        <is>
          <t>FAGERSTA</t>
        </is>
      </c>
      <c r="I85" t="n">
        <v>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19888-2025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45771</v>
      </c>
      <c r="E86" s="1" t="n">
        <v>46236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16.8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60374-2025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45995</v>
      </c>
      <c r="E87" s="1" t="n">
        <v>46236</v>
      </c>
      <c r="F87" t="inlineStr">
        <is>
          <t>VÄSTMANLANDS LÄN</t>
        </is>
      </c>
      <c r="G87" t="inlineStr">
        <is>
          <t>FAGERSTA</t>
        </is>
      </c>
      <c r="H87" t="inlineStr">
        <is>
          <t>Kommuner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37955-2023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45160</v>
      </c>
      <c r="E88" s="1" t="n">
        <v>46236</v>
      </c>
      <c r="F88" t="inlineStr">
        <is>
          <t>VÄSTMANLANDS LÄN</t>
        </is>
      </c>
      <c r="G88" t="inlineStr">
        <is>
          <t>FAGERSTA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10526-2026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46077</v>
      </c>
      <c r="E89" s="1" t="n">
        <v>46236</v>
      </c>
      <c r="F89" t="inlineStr">
        <is>
          <t>VÄSTMANLANDS LÄN</t>
        </is>
      </c>
      <c r="G89" t="inlineStr">
        <is>
          <t>FAGERSTA</t>
        </is>
      </c>
      <c r="H89" t="inlineStr">
        <is>
          <t>Bergvik skog väst AB</t>
        </is>
      </c>
      <c r="I89" t="n">
        <v>6.2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58464-2024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45635</v>
      </c>
      <c r="E90" s="1" t="n">
        <v>46236</v>
      </c>
      <c r="F90" t="inlineStr">
        <is>
          <t>VÄSTMANLANDS LÄN</t>
        </is>
      </c>
      <c r="G90" t="inlineStr">
        <is>
          <t>FAGERSTA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10520-2026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46077</v>
      </c>
      <c r="E91" s="1" t="n">
        <v>46236</v>
      </c>
      <c r="F91" t="inlineStr">
        <is>
          <t>VÄSTMANLANDS LÄN</t>
        </is>
      </c>
      <c r="G91" t="inlineStr">
        <is>
          <t>FAGERSTA</t>
        </is>
      </c>
      <c r="H91" t="inlineStr">
        <is>
          <t>Bergvik skog väst AB</t>
        </is>
      </c>
      <c r="I91" t="n">
        <v>19.5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19156-2025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45769</v>
      </c>
      <c r="E92" s="1" t="n">
        <v>46236</v>
      </c>
      <c r="F92" t="inlineStr">
        <is>
          <t>VÄSTMANLANDS LÄN</t>
        </is>
      </c>
      <c r="G92" t="inlineStr">
        <is>
          <t>FAGERSTA</t>
        </is>
      </c>
      <c r="H92" t="inlineStr">
        <is>
          <t>Bergvik skog väst AB</t>
        </is>
      </c>
      <c r="I92" t="n">
        <v>10.1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10686-2026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46078</v>
      </c>
      <c r="E93" s="1" t="n">
        <v>46236</v>
      </c>
      <c r="F93" t="inlineStr">
        <is>
          <t>VÄSTMANLANDS LÄN</t>
        </is>
      </c>
      <c r="G93" t="inlineStr">
        <is>
          <t>FAGERSTA</t>
        </is>
      </c>
      <c r="H93" t="inlineStr">
        <is>
          <t>Bergvik skog väst AB</t>
        </is>
      </c>
      <c r="I93" t="n">
        <v>18.6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13697-2025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45737</v>
      </c>
      <c r="E94" s="1" t="n">
        <v>46236</v>
      </c>
      <c r="F94" t="inlineStr">
        <is>
          <t>VÄSTMANLANDS LÄN</t>
        </is>
      </c>
      <c r="G94" t="inlineStr">
        <is>
          <t>FAGERSTA</t>
        </is>
      </c>
      <c r="H94" t="inlineStr">
        <is>
          <t>Bergvik skog väst AB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19213-2025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45769</v>
      </c>
      <c r="E95" s="1" t="n">
        <v>46236</v>
      </c>
      <c r="F95" t="inlineStr">
        <is>
          <t>VÄSTMANLANDS LÄN</t>
        </is>
      </c>
      <c r="G95" t="inlineStr">
        <is>
          <t>FAGERSTA</t>
        </is>
      </c>
      <c r="H95" t="inlineStr">
        <is>
          <t>Övriga Aktiebolag</t>
        </is>
      </c>
      <c r="I95" t="n">
        <v>14.6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13079-2026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46093</v>
      </c>
      <c r="E96" s="1" t="n">
        <v>46236</v>
      </c>
      <c r="F96" t="inlineStr">
        <is>
          <t>VÄSTMANLANDS LÄN</t>
        </is>
      </c>
      <c r="G96" t="inlineStr">
        <is>
          <t>FAGERSTA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19153-2025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45769</v>
      </c>
      <c r="E97" s="1" t="n">
        <v>46236</v>
      </c>
      <c r="F97" t="inlineStr">
        <is>
          <t>VÄSTMANLANDS LÄN</t>
        </is>
      </c>
      <c r="G97" t="inlineStr">
        <is>
          <t>FAGERSTA</t>
        </is>
      </c>
      <c r="I97" t="n">
        <v>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33357-2023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45128</v>
      </c>
      <c r="E98" s="1" t="n">
        <v>46236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45390-2023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45193</v>
      </c>
      <c r="E99" s="1" t="n">
        <v>46236</v>
      </c>
      <c r="F99" t="inlineStr">
        <is>
          <t>VÄSTMANLANDS LÄN</t>
        </is>
      </c>
      <c r="G99" t="inlineStr">
        <is>
          <t>FAGERSTA</t>
        </is>
      </c>
      <c r="I99" t="n">
        <v>8.4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17886-2026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46122</v>
      </c>
      <c r="E100" s="1" t="n">
        <v>46236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18782-2026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46128</v>
      </c>
      <c r="E101" s="1" t="n">
        <v>46236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58310-2024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45632</v>
      </c>
      <c r="E102" s="1" t="n">
        <v>46236</v>
      </c>
      <c r="F102" t="inlineStr">
        <is>
          <t>VÄSTMANLANDS LÄN</t>
        </is>
      </c>
      <c r="G102" t="inlineStr">
        <is>
          <t>FAGERSTA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18781-2026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46128</v>
      </c>
      <c r="E103" s="1" t="n">
        <v>46236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8.699999999999999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18783-2026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46128</v>
      </c>
      <c r="E104" s="1" t="n">
        <v>46236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30813-2022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44764</v>
      </c>
      <c r="E105" s="1" t="n">
        <v>46236</v>
      </c>
      <c r="F105" t="inlineStr">
        <is>
          <t>VÄSTMANLANDS LÄN</t>
        </is>
      </c>
      <c r="G105" t="inlineStr">
        <is>
          <t>FAGERSTA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17893-2026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46122</v>
      </c>
      <c r="E106" s="1" t="n">
        <v>46236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6.9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12121-2023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44998</v>
      </c>
      <c r="E107" s="1" t="n">
        <v>46236</v>
      </c>
      <c r="F107" t="inlineStr">
        <is>
          <t>VÄSTMANLANDS LÄN</t>
        </is>
      </c>
      <c r="G107" t="inlineStr">
        <is>
          <t>FAGERSTA</t>
        </is>
      </c>
      <c r="H107" t="inlineStr">
        <is>
          <t>Övriga Aktiebolag</t>
        </is>
      </c>
      <c r="I107" t="n">
        <v>6.9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19707-2026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46134</v>
      </c>
      <c r="E108" s="1" t="n">
        <v>46236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13.2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45785</v>
      </c>
      <c r="E109" s="1" t="n">
        <v>46236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18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22117-2025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45785</v>
      </c>
      <c r="E110" s="1" t="n">
        <v>46236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6.7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19708-2026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46134</v>
      </c>
      <c r="E111" s="1" t="n">
        <v>46236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19825-2026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46135</v>
      </c>
      <c r="E112" s="1" t="n">
        <v>46236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56704-2024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45627</v>
      </c>
      <c r="E113" s="1" t="n">
        <v>46236</v>
      </c>
      <c r="F113" t="inlineStr">
        <is>
          <t>VÄSTMANLANDS LÄN</t>
        </is>
      </c>
      <c r="G113" t="inlineStr">
        <is>
          <t>FAGERSTA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56698-2024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45627</v>
      </c>
      <c r="E114" s="1" t="n">
        <v>46236</v>
      </c>
      <c r="F114" t="inlineStr">
        <is>
          <t>VÄSTMANLANDS LÄN</t>
        </is>
      </c>
      <c r="G114" t="inlineStr">
        <is>
          <t>FAGERSTA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58594-2024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45635</v>
      </c>
      <c r="E115" s="1" t="n">
        <v>46236</v>
      </c>
      <c r="F115" t="inlineStr">
        <is>
          <t>VÄSTMANLANDS LÄN</t>
        </is>
      </c>
      <c r="G115" t="inlineStr">
        <is>
          <t>FAGERSTA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63480-2023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45274</v>
      </c>
      <c r="E116" s="1" t="n">
        <v>46236</v>
      </c>
      <c r="F116" t="inlineStr">
        <is>
          <t>VÄSTMANLANDS LÄN</t>
        </is>
      </c>
      <c r="G116" t="inlineStr">
        <is>
          <t>FAGERSTA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39157-2024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45548</v>
      </c>
      <c r="E117" s="1" t="n">
        <v>46236</v>
      </c>
      <c r="F117" t="inlineStr">
        <is>
          <t>VÄSTMANLANDS LÄN</t>
        </is>
      </c>
      <c r="G117" t="inlineStr">
        <is>
          <t>FAGERSTA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26652-2025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45810</v>
      </c>
      <c r="E118" s="1" t="n">
        <v>46236</v>
      </c>
      <c r="F118" t="inlineStr">
        <is>
          <t>VÄSTMANLANDS LÄN</t>
        </is>
      </c>
      <c r="G118" t="inlineStr">
        <is>
          <t>FAGERSTA</t>
        </is>
      </c>
      <c r="H118" t="inlineStr">
        <is>
          <t>Bergvik skog väst AB</t>
        </is>
      </c>
      <c r="I118" t="n">
        <v>22.6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29075-2025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45821</v>
      </c>
      <c r="E119" s="1" t="n">
        <v>46236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32001-2025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45835</v>
      </c>
      <c r="E120" s="1" t="n">
        <v>46236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33238-2025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45840</v>
      </c>
      <c r="E121" s="1" t="n">
        <v>46236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33232-2025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45840</v>
      </c>
      <c r="E122" s="1" t="n">
        <v>46236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33236-2025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45840</v>
      </c>
      <c r="E123" s="1" t="n">
        <v>46236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34374-2025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45846</v>
      </c>
      <c r="E124" s="1" t="n">
        <v>46236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28425-2025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45819</v>
      </c>
      <c r="E125" s="1" t="n">
        <v>46236</v>
      </c>
      <c r="F125" t="inlineStr">
        <is>
          <t>VÄSTMANLANDS LÄN</t>
        </is>
      </c>
      <c r="G125" t="inlineStr">
        <is>
          <t>FAGERSTA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2078-2025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45840</v>
      </c>
      <c r="E126" s="1" t="n">
        <v>46236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2080-2025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45840</v>
      </c>
      <c r="E127" s="1" t="n">
        <v>46236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2079-2025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46236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2121-2025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45846</v>
      </c>
      <c r="E129" s="1" t="n">
        <v>46236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3554-2025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46010</v>
      </c>
      <c r="E130" s="1" t="n">
        <v>46236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1073-2026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46128</v>
      </c>
      <c r="E131" s="1" t="n">
        <v>46236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>
      <c r="A132" t="inlineStr">
        <is>
          <t>S 1143-2026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46135</v>
      </c>
      <c r="E132" s="1" t="n">
        <v>46236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2026-08-02T01:53:02Z</dcterms:created>
  <dcterms:modified xmlns:dcterms="http://purl.org/dc/terms/" xmlns:xsi="http://www.w3.org/2001/XMLSchema-instance" xsi:type="dcterms:W3CDTF">2026-08-02T01:53:02Z</dcterms:modified>
</cp:coreProperties>
</file>